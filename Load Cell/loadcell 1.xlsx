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sa\Desktop\"/>
    </mc:Choice>
  </mc:AlternateContent>
  <xr:revisionPtr revIDLastSave="0" documentId="13_ncr:1_{14F336D2-F90C-4EE0-9114-AF861A607598}" xr6:coauthVersionLast="47" xr6:coauthVersionMax="47" xr10:uidLastSave="{00000000-0000-0000-0000-000000000000}"/>
  <bookViews>
    <workbookView xWindow="-104" yWindow="-104" windowWidth="22326" windowHeight="12649" activeTab="2" xr2:uid="{44C2FA89-6871-497D-BD62-A8FDBE35A222}"/>
  </bookViews>
  <sheets>
    <sheet name="sat1" sheetId="1" r:id="rId1"/>
    <sheet name="charac2" sheetId="2" r:id="rId2"/>
    <sheet name="diff1" sheetId="3" r:id="rId3"/>
    <sheet name="diff2" sheetId="4" r:id="rId4"/>
    <sheet name="diff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2" i="4"/>
  <c r="A3" i="4"/>
  <c r="A5" i="4"/>
  <c r="A8" i="4"/>
  <c r="A9" i="4"/>
  <c r="A10" i="4"/>
  <c r="A11" i="4"/>
  <c r="A12" i="3"/>
  <c r="C12" i="3" s="1"/>
  <c r="A11" i="3"/>
  <c r="C11" i="3" s="1"/>
  <c r="A10" i="3"/>
  <c r="C10" i="3" s="1"/>
  <c r="A9" i="3"/>
  <c r="C9" i="3" s="1"/>
  <c r="C8" i="3"/>
  <c r="A8" i="3"/>
  <c r="A7" i="3"/>
  <c r="C7" i="3" s="1"/>
  <c r="A6" i="3"/>
  <c r="C6" i="3" s="1"/>
  <c r="A4" i="3"/>
  <c r="C4" i="3" s="1"/>
  <c r="C3" i="3"/>
  <c r="C5" i="3"/>
  <c r="C2" i="3"/>
  <c r="A4" i="2"/>
  <c r="A5" i="2" s="1"/>
  <c r="A6" i="2" s="1"/>
  <c r="A10" i="2"/>
  <c r="A9" i="2" s="1"/>
  <c r="A8" i="2" s="1"/>
  <c r="A7" i="2" s="1"/>
  <c r="A18" i="2"/>
  <c r="A17" i="2" s="1"/>
  <c r="A16" i="2" s="1"/>
  <c r="A15" i="2" s="1"/>
  <c r="A14" i="2" s="1"/>
  <c r="A13" i="2" s="1"/>
  <c r="A12" i="2" s="1"/>
  <c r="A19" i="2"/>
  <c r="A20" i="2"/>
  <c r="A21" i="2"/>
</calcChain>
</file>

<file path=xl/sharedStrings.xml><?xml version="1.0" encoding="utf-8"?>
<sst xmlns="http://schemas.openxmlformats.org/spreadsheetml/2006/main" count="17" uniqueCount="6">
  <si>
    <t>Mass(g)</t>
  </si>
  <si>
    <t>Voltage(V)</t>
  </si>
  <si>
    <t>real(g)</t>
  </si>
  <si>
    <t>mes(g)</t>
  </si>
  <si>
    <t>diff(g)</t>
  </si>
  <si>
    <t>diff2(g)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</si>
</sst>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'sat1'!$B$1</c:f>
              <c:strCache>
                <c:ptCount val="1"/>
                <c:pt idx="0">
                  <c:v>Voltage(V)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'sat1'!$A$2:$A$21</c:f>
              <c:numCache>
                <c:formatCode>General</c:formatCode>
                <c:ptCount val="20"/>
                <c:pt idx="0">
                  <c:v>0</c:v>
                </c:pt>
                <c:pt idx="1">
                  <c:v>509</c:v>
                </c:pt>
                <c:pt idx="2">
                  <c:v>997</c:v>
                </c:pt>
                <c:pt idx="3">
                  <c:v>1504</c:v>
                </c:pt>
                <c:pt idx="4">
                  <c:v>2018</c:v>
                </c:pt>
                <c:pt idx="5">
                  <c:v>2515</c:v>
                </c:pt>
                <c:pt idx="6">
                  <c:v>3030</c:v>
                </c:pt>
                <c:pt idx="7">
                  <c:v>3582</c:v>
                </c:pt>
                <c:pt idx="8">
                  <c:v>4071</c:v>
                </c:pt>
                <c:pt idx="9">
                  <c:v>4574</c:v>
                </c:pt>
                <c:pt idx="10">
                  <c:v>4918</c:v>
                </c:pt>
                <c:pt idx="11">
                  <c:v>5471</c:v>
                </c:pt>
                <c:pt idx="12">
                  <c:v>5982</c:v>
                </c:pt>
                <c:pt idx="13">
                  <c:v>6489</c:v>
                </c:pt>
                <c:pt idx="14">
                  <c:v>6915</c:v>
                </c:pt>
                <c:pt idx="15">
                  <c:v>7482</c:v>
                </c:pt>
                <c:pt idx="16">
                  <c:v>7997</c:v>
                </c:pt>
                <c:pt idx="17">
                  <c:v>8486</c:v>
                </c:pt>
                <c:pt idx="18">
                  <c:v>9469</c:v>
                </c:pt>
                <c:pt idx="19">
                  <c:v>9995</c:v>
                </c:pt>
              </c:numCache>
            </c:numRef>
          </c:xVal>
          <c:yVal>
            <c:numRef>
              <c:f>'sat1'!$B$2:$B$21</c:f>
              <c:numCache>
                <c:formatCode>General</c:formatCode>
                <c:ptCount val="20"/>
                <c:pt idx="0">
                  <c:v>8.2559999999999995E-2</c:v>
                </c:pt>
                <c:pt idx="1">
                  <c:v>0.22720000000000001</c:v>
                </c:pt>
                <c:pt idx="2">
                  <c:v>0.4093</c:v>
                </c:pt>
                <c:pt idx="3">
                  <c:v>0.5948</c:v>
                </c:pt>
                <c:pt idx="4">
                  <c:v>0.79810000000000003</c:v>
                </c:pt>
                <c:pt idx="5">
                  <c:v>0.9748</c:v>
                </c:pt>
                <c:pt idx="6">
                  <c:v>1.1679999999999999</c:v>
                </c:pt>
                <c:pt idx="7">
                  <c:v>1.3720000000000001</c:v>
                </c:pt>
                <c:pt idx="8">
                  <c:v>1.5529999999999999</c:v>
                </c:pt>
                <c:pt idx="9">
                  <c:v>1.742</c:v>
                </c:pt>
                <c:pt idx="10">
                  <c:v>1.9</c:v>
                </c:pt>
                <c:pt idx="11">
                  <c:v>2.081</c:v>
                </c:pt>
                <c:pt idx="12">
                  <c:v>2.2789999999999999</c:v>
                </c:pt>
                <c:pt idx="13">
                  <c:v>2.4889999999999999</c:v>
                </c:pt>
                <c:pt idx="14">
                  <c:v>2.5339999999999998</c:v>
                </c:pt>
                <c:pt idx="15">
                  <c:v>2.5449999999999999</c:v>
                </c:pt>
                <c:pt idx="16">
                  <c:v>2.5470000000000002</c:v>
                </c:pt>
                <c:pt idx="17">
                  <c:v>2.544</c:v>
                </c:pt>
                <c:pt idx="18">
                  <c:v>2.5369999999999999</c:v>
                </c:pt>
                <c:pt idx="19">
                  <c:v>2.5409999999999999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AA-4B5F-99B1-BD14987F1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989823"/>
        <c:axId val="321941391"/>
      </c:scatterChart>
      <c:valAx>
        <c:axId val="37998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41391"/>
        <c:crosses val="autoZero"/>
        <c:crossBetween val="midCat"/>
      </c:valAx>
      <c:valAx>
        <c:axId val="32194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98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charac2!$B$1</c:f>
              <c:strCache>
                <c:ptCount val="1"/>
                <c:pt idx="0">
                  <c:v>Voltage(V)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charac2!$A$2:$A$22</c:f>
              <c:numCache>
                <c:formatCode>General</c:formatCode>
                <c:ptCount val="21"/>
                <c:pt idx="0">
                  <c:v>0</c:v>
                </c:pt>
                <c:pt idx="1">
                  <c:v>494</c:v>
                </c:pt>
                <c:pt idx="2">
                  <c:v>1003</c:v>
                </c:pt>
                <c:pt idx="3">
                  <c:v>1497</c:v>
                </c:pt>
                <c:pt idx="4">
                  <c:v>2013</c:v>
                </c:pt>
                <c:pt idx="5">
                  <c:v>2540</c:v>
                </c:pt>
                <c:pt idx="6">
                  <c:v>3034</c:v>
                </c:pt>
                <c:pt idx="7">
                  <c:v>3543</c:v>
                </c:pt>
                <c:pt idx="8">
                  <c:v>4058</c:v>
                </c:pt>
                <c:pt idx="9">
                  <c:v>4550</c:v>
                </c:pt>
                <c:pt idx="10">
                  <c:v>4955</c:v>
                </c:pt>
                <c:pt idx="11">
                  <c:v>5450</c:v>
                </c:pt>
                <c:pt idx="12">
                  <c:v>5959</c:v>
                </c:pt>
                <c:pt idx="13">
                  <c:v>6454</c:v>
                </c:pt>
                <c:pt idx="14">
                  <c:v>6948</c:v>
                </c:pt>
                <c:pt idx="15">
                  <c:v>7495</c:v>
                </c:pt>
                <c:pt idx="16">
                  <c:v>7989</c:v>
                </c:pt>
                <c:pt idx="17">
                  <c:v>8483</c:v>
                </c:pt>
                <c:pt idx="18">
                  <c:v>8998</c:v>
                </c:pt>
                <c:pt idx="19">
                  <c:v>9507</c:v>
                </c:pt>
                <c:pt idx="20">
                  <c:v>10001</c:v>
                </c:pt>
              </c:numCache>
            </c:numRef>
          </c:xVal>
          <c:yVal>
            <c:numRef>
              <c:f>charac2!$B$2:$B$22</c:f>
              <c:numCache>
                <c:formatCode>General</c:formatCode>
                <c:ptCount val="21"/>
                <c:pt idx="0">
                  <c:v>6.003E-2</c:v>
                </c:pt>
                <c:pt idx="1">
                  <c:v>0.13109999999999999</c:v>
                </c:pt>
                <c:pt idx="2">
                  <c:v>0.25390000000000001</c:v>
                </c:pt>
                <c:pt idx="3">
                  <c:v>0.37719999999999998</c:v>
                </c:pt>
                <c:pt idx="4">
                  <c:v>0.50649999999999995</c:v>
                </c:pt>
                <c:pt idx="5">
                  <c:v>0.63919999999999999</c:v>
                </c:pt>
                <c:pt idx="6">
                  <c:v>0.76219999999999999</c:v>
                </c:pt>
                <c:pt idx="7">
                  <c:v>0.88970000000000005</c:v>
                </c:pt>
                <c:pt idx="8">
                  <c:v>1.018</c:v>
                </c:pt>
                <c:pt idx="9">
                  <c:v>1.141</c:v>
                </c:pt>
                <c:pt idx="10">
                  <c:v>1.248</c:v>
                </c:pt>
                <c:pt idx="11">
                  <c:v>1.3680000000000001</c:v>
                </c:pt>
                <c:pt idx="12">
                  <c:v>1.496</c:v>
                </c:pt>
                <c:pt idx="13">
                  <c:v>1.6180000000000001</c:v>
                </c:pt>
                <c:pt idx="14">
                  <c:v>1.74</c:v>
                </c:pt>
                <c:pt idx="15">
                  <c:v>1.875</c:v>
                </c:pt>
                <c:pt idx="16">
                  <c:v>1.998</c:v>
                </c:pt>
                <c:pt idx="17">
                  <c:v>2.1240000000000001</c:v>
                </c:pt>
                <c:pt idx="18">
                  <c:v>2.2490000000000001</c:v>
                </c:pt>
                <c:pt idx="19">
                  <c:v>2.371</c:v>
                </c:pt>
                <c:pt idx="20">
                  <c:v>2.496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91-44FC-8A41-C02D3E9BD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43823"/>
        <c:axId val="321966351"/>
      </c:scatterChart>
      <c:valAx>
        <c:axId val="14994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66351"/>
        <c:crosses val="autoZero"/>
        <c:crossBetween val="midCat"/>
      </c:valAx>
      <c:valAx>
        <c:axId val="32196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4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diff1!$C$1</c:f>
              <c:strCache>
                <c:ptCount val="1"/>
                <c:pt idx="0">
                  <c:v>diff(g)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diff1!$A$2:$A$12</c:f>
              <c:numCache>
                <c:formatCode>General</c:formatCode>
                <c:ptCount val="11"/>
                <c:pt idx="0">
                  <c:v>0</c:v>
                </c:pt>
                <c:pt idx="1">
                  <c:v>1025</c:v>
                </c:pt>
                <c:pt idx="2">
                  <c:v>2015</c:v>
                </c:pt>
                <c:pt idx="3">
                  <c:v>3055</c:v>
                </c:pt>
                <c:pt idx="4">
                  <c:v>4046</c:v>
                </c:pt>
                <c:pt idx="5">
                  <c:v>5070</c:v>
                </c:pt>
                <c:pt idx="6">
                  <c:v>5968</c:v>
                </c:pt>
                <c:pt idx="7">
                  <c:v>6957</c:v>
                </c:pt>
                <c:pt idx="8">
                  <c:v>7981</c:v>
                </c:pt>
                <c:pt idx="9">
                  <c:v>8948</c:v>
                </c:pt>
                <c:pt idx="10">
                  <c:v>9938</c:v>
                </c:pt>
              </c:numCache>
            </c:numRef>
          </c:xVal>
          <c:yVal>
            <c:numRef>
              <c:f>diff1!$C$2:$C$12</c:f>
              <c:numCache>
                <c:formatCode>General</c:formatCode>
                <c:ptCount val="11"/>
                <c:pt idx="0">
                  <c:v>480.6</c:v>
                </c:pt>
                <c:pt idx="1">
                  <c:v>568</c:v>
                </c:pt>
                <c:pt idx="2">
                  <c:v>199</c:v>
                </c:pt>
                <c:pt idx="3">
                  <c:v>372</c:v>
                </c:pt>
                <c:pt idx="4">
                  <c:v>378</c:v>
                </c:pt>
                <c:pt idx="5">
                  <c:v>379</c:v>
                </c:pt>
                <c:pt idx="6">
                  <c:v>309</c:v>
                </c:pt>
                <c:pt idx="7">
                  <c:v>205</c:v>
                </c:pt>
                <c:pt idx="8">
                  <c:v>218</c:v>
                </c:pt>
                <c:pt idx="9">
                  <c:v>484</c:v>
                </c:pt>
                <c:pt idx="10">
                  <c:v>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EE-4DE7-BAA5-961DDCA22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002351"/>
        <c:axId val="322023951"/>
      </c:scatterChart>
      <c:valAx>
        <c:axId val="38000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023951"/>
        <c:crosses val="autoZero"/>
        <c:crossBetween val="midCat"/>
      </c:valAx>
      <c:valAx>
        <c:axId val="32202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002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diffg!$C$1</c:f>
              <c:strCache>
                <c:ptCount val="1"/>
                <c:pt idx="0">
                  <c:v>diff(g)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diffg!$A$2:$A$12</c:f>
              <c:numCache>
                <c:formatCode>General</c:formatCode>
                <c:ptCount val="11"/>
                <c:pt idx="0">
                  <c:v>0</c:v>
                </c:pt>
                <c:pt idx="1">
                  <c:v>1025</c:v>
                </c:pt>
                <c:pt idx="2">
                  <c:v>2015</c:v>
                </c:pt>
                <c:pt idx="3">
                  <c:v>3055</c:v>
                </c:pt>
                <c:pt idx="4">
                  <c:v>4046</c:v>
                </c:pt>
                <c:pt idx="5">
                  <c:v>5070</c:v>
                </c:pt>
                <c:pt idx="6">
                  <c:v>5968</c:v>
                </c:pt>
                <c:pt idx="7">
                  <c:v>6957</c:v>
                </c:pt>
                <c:pt idx="8">
                  <c:v>7981</c:v>
                </c:pt>
                <c:pt idx="9">
                  <c:v>8948</c:v>
                </c:pt>
                <c:pt idx="10">
                  <c:v>9938</c:v>
                </c:pt>
              </c:numCache>
            </c:numRef>
          </c:xVal>
          <c:yVal>
            <c:numRef>
              <c:f>diffg!$C$2:$C$12</c:f>
              <c:numCache>
                <c:formatCode>General</c:formatCode>
                <c:ptCount val="11"/>
                <c:pt idx="0">
                  <c:v>480.6</c:v>
                </c:pt>
                <c:pt idx="1">
                  <c:v>568</c:v>
                </c:pt>
                <c:pt idx="2">
                  <c:v>199</c:v>
                </c:pt>
                <c:pt idx="3">
                  <c:v>372</c:v>
                </c:pt>
                <c:pt idx="4">
                  <c:v>378</c:v>
                </c:pt>
                <c:pt idx="5">
                  <c:v>379</c:v>
                </c:pt>
                <c:pt idx="6">
                  <c:v>309</c:v>
                </c:pt>
                <c:pt idx="7">
                  <c:v>205</c:v>
                </c:pt>
                <c:pt idx="8">
                  <c:v>218</c:v>
                </c:pt>
                <c:pt idx="9">
                  <c:v>484</c:v>
                </c:pt>
                <c:pt idx="10">
                  <c:v>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94-4D5D-8C65-E8ABD886F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274399"/>
        <c:axId val="321999471"/>
      </c:scatterChart>
      <c:valAx>
        <c:axId val="42827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99471"/>
        <c:crosses val="autoZero"/>
        <c:crossBetween val="midCat"/>
      </c:valAx>
      <c:valAx>
        <c:axId val="32199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74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344925634295694E-2"/>
          <c:y val="0.19721055701370663"/>
          <c:w val="0.85098840769903761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diffg!$F$1</c:f>
              <c:strCache>
                <c:ptCount val="1"/>
                <c:pt idx="0">
                  <c:v>diff(g)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diffg!$D$2:$D$12</c:f>
              <c:numCache>
                <c:formatCode>General</c:formatCode>
                <c:ptCount val="11"/>
                <c:pt idx="0">
                  <c:v>0</c:v>
                </c:pt>
                <c:pt idx="1">
                  <c:v>1003</c:v>
                </c:pt>
                <c:pt idx="2">
                  <c:v>1991</c:v>
                </c:pt>
                <c:pt idx="3">
                  <c:v>3072</c:v>
                </c:pt>
                <c:pt idx="4">
                  <c:v>4074</c:v>
                </c:pt>
                <c:pt idx="5">
                  <c:v>4918</c:v>
                </c:pt>
                <c:pt idx="6">
                  <c:v>5877</c:v>
                </c:pt>
                <c:pt idx="7">
                  <c:v>6886</c:v>
                </c:pt>
                <c:pt idx="8">
                  <c:v>7940</c:v>
                </c:pt>
                <c:pt idx="9">
                  <c:v>8948</c:v>
                </c:pt>
                <c:pt idx="10">
                  <c:v>9938</c:v>
                </c:pt>
              </c:numCache>
            </c:numRef>
          </c:xVal>
          <c:yVal>
            <c:numRef>
              <c:f>diffg!$F$2:$F$12</c:f>
              <c:numCache>
                <c:formatCode>General</c:formatCode>
                <c:ptCount val="11"/>
                <c:pt idx="0">
                  <c:v>254.8</c:v>
                </c:pt>
                <c:pt idx="1">
                  <c:v>42</c:v>
                </c:pt>
                <c:pt idx="2">
                  <c:v>68</c:v>
                </c:pt>
                <c:pt idx="3">
                  <c:v>95</c:v>
                </c:pt>
                <c:pt idx="4">
                  <c:v>140</c:v>
                </c:pt>
                <c:pt idx="5">
                  <c:v>243</c:v>
                </c:pt>
                <c:pt idx="6">
                  <c:v>325</c:v>
                </c:pt>
                <c:pt idx="7">
                  <c:v>-67</c:v>
                </c:pt>
                <c:pt idx="8">
                  <c:v>313</c:v>
                </c:pt>
                <c:pt idx="9">
                  <c:v>330</c:v>
                </c:pt>
                <c:pt idx="10">
                  <c:v>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3-4511-8FA7-7DA99825A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901983"/>
        <c:axId val="321982671"/>
      </c:scatterChart>
      <c:valAx>
        <c:axId val="32990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82671"/>
        <c:crosses val="autoZero"/>
        <c:crossBetween val="midCat"/>
      </c:valAx>
      <c:valAx>
        <c:axId val="32198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90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523036</xdr:colOff>
      <xdr:row>2</xdr:row>
      <xdr:rowOff>131673</xdr:rowOff>
    </xdr:from>
    <xdr:to>
      <xdr:col>10</xdr:col>
      <xdr:colOff>588873</xdr:colOff>
      <xdr:row>17</xdr:row>
      <xdr:rowOff>131673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69703C-59F7-4075-8444-FDE64EB0A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10972</xdr:colOff>
      <xdr:row>2</xdr:row>
      <xdr:rowOff>109728</xdr:rowOff>
    </xdr:from>
    <xdr:to>
      <xdr:col>10</xdr:col>
      <xdr:colOff>76809</xdr:colOff>
      <xdr:row>17</xdr:row>
      <xdr:rowOff>109728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C46F45-1443-EDBC-C8B0-553BE83E8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347471</xdr:colOff>
      <xdr:row>1</xdr:row>
      <xdr:rowOff>7315</xdr:rowOff>
    </xdr:from>
    <xdr:to>
      <xdr:col>11</xdr:col>
      <xdr:colOff>413307</xdr:colOff>
      <xdr:row>16</xdr:row>
      <xdr:rowOff>7315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90ED7D-D18C-D11F-DEC3-01CC7BD0A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32918</xdr:colOff>
      <xdr:row>0</xdr:row>
      <xdr:rowOff>131673</xdr:rowOff>
    </xdr:from>
    <xdr:to>
      <xdr:col>14</xdr:col>
      <xdr:colOff>98755</xdr:colOff>
      <xdr:row>15</xdr:row>
      <xdr:rowOff>131673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BFF598-0906-F773-DBE2-783F9A8AC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3657</xdr:colOff>
      <xdr:row>17</xdr:row>
      <xdr:rowOff>87782</xdr:rowOff>
    </xdr:from>
    <xdr:to>
      <xdr:col>14</xdr:col>
      <xdr:colOff>69494</xdr:colOff>
      <xdr:row>32</xdr:row>
      <xdr:rowOff>87782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C91D4E-D6FF-1051-4D76-097FCA658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8CDB-EF39-4DBB-A206-0B5CF3A2479F}">
  <dimension ref="A1:B21"/>
  <sheetViews>
    <sheetView zoomScaleNormal="100" workbookViewId="0">
      <selection sqref="A1:B2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8.2559999999999995E-2</v>
      </c>
    </row>
    <row r="3" spans="1:2" x14ac:dyDescent="0.3">
      <c r="A3">
        <v>509</v>
      </c>
      <c r="B3">
        <v>0.22720000000000001</v>
      </c>
    </row>
    <row r="4" spans="1:2" x14ac:dyDescent="0.3">
      <c r="A4">
        <v>997</v>
      </c>
      <c r="B4">
        <v>0.4093</v>
      </c>
    </row>
    <row r="5" spans="1:2" x14ac:dyDescent="0.3">
      <c r="A5">
        <v>1504</v>
      </c>
      <c r="B5">
        <v>0.5948</v>
      </c>
    </row>
    <row r="6" spans="1:2" x14ac:dyDescent="0.3">
      <c r="A6">
        <v>2018</v>
      </c>
      <c r="B6">
        <v>0.79810000000000003</v>
      </c>
    </row>
    <row r="7" spans="1:2" x14ac:dyDescent="0.3">
      <c r="A7">
        <v>2515</v>
      </c>
      <c r="B7">
        <v>0.9748</v>
      </c>
    </row>
    <row r="8" spans="1:2" x14ac:dyDescent="0.3">
      <c r="A8">
        <v>3030</v>
      </c>
      <c r="B8">
        <v>1.1679999999999999</v>
      </c>
    </row>
    <row r="9" spans="1:2" x14ac:dyDescent="0.3">
      <c r="A9">
        <v>3582</v>
      </c>
      <c r="B9">
        <v>1.3720000000000001</v>
      </c>
    </row>
    <row r="10" spans="1:2" x14ac:dyDescent="0.3">
      <c r="A10">
        <v>4071</v>
      </c>
      <c r="B10">
        <v>1.5529999999999999</v>
      </c>
    </row>
    <row r="11" spans="1:2" x14ac:dyDescent="0.3">
      <c r="A11">
        <v>4574</v>
      </c>
      <c r="B11">
        <v>1.742</v>
      </c>
    </row>
    <row r="12" spans="1:2" x14ac:dyDescent="0.3">
      <c r="A12">
        <v>4918</v>
      </c>
      <c r="B12">
        <v>1.9</v>
      </c>
    </row>
    <row r="13" spans="1:2" x14ac:dyDescent="0.3">
      <c r="A13">
        <v>5471</v>
      </c>
      <c r="B13">
        <v>2.081</v>
      </c>
    </row>
    <row r="14" spans="1:2" x14ac:dyDescent="0.3">
      <c r="A14">
        <v>5982</v>
      </c>
      <c r="B14">
        <v>2.2789999999999999</v>
      </c>
    </row>
    <row r="15" spans="1:2" x14ac:dyDescent="0.3">
      <c r="A15">
        <v>6489</v>
      </c>
      <c r="B15">
        <v>2.4889999999999999</v>
      </c>
    </row>
    <row r="16" spans="1:2" x14ac:dyDescent="0.3">
      <c r="A16">
        <v>6915</v>
      </c>
      <c r="B16">
        <v>2.5339999999999998</v>
      </c>
    </row>
    <row r="17" spans="1:2" x14ac:dyDescent="0.3">
      <c r="A17">
        <v>7482</v>
      </c>
      <c r="B17">
        <v>2.5449999999999999</v>
      </c>
    </row>
    <row r="18" spans="1:2" x14ac:dyDescent="0.3">
      <c r="A18">
        <v>7997</v>
      </c>
      <c r="B18">
        <v>2.5470000000000002</v>
      </c>
    </row>
    <row r="19" spans="1:2" x14ac:dyDescent="0.3">
      <c r="A19">
        <v>8486</v>
      </c>
      <c r="B19">
        <v>2.544</v>
      </c>
    </row>
    <row r="20" spans="1:2" x14ac:dyDescent="0.3">
      <c r="A20">
        <v>9469</v>
      </c>
      <c r="B20">
        <v>2.5369999999999999</v>
      </c>
    </row>
    <row r="21" spans="1:2" x14ac:dyDescent="0.3">
      <c r="A21">
        <v>9995</v>
      </c>
      <c r="B21">
        <v>2.5409999999999999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CAD5-D724-4029-A3DD-6AC9C2D87ED4}">
  <dimension ref="A1:B22"/>
  <sheetViews>
    <sheetView workbookViewId="0">
      <selection activeCell="S21" sqref="S2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6.003E-2</v>
      </c>
    </row>
    <row r="3" spans="1:2" x14ac:dyDescent="0.3">
      <c r="A3">
        <v>494</v>
      </c>
      <c r="B3">
        <v>0.13109999999999999</v>
      </c>
    </row>
    <row r="4" spans="1:2" x14ac:dyDescent="0.3">
      <c r="A4">
        <f>A3+509</f>
        <v>1003</v>
      </c>
      <c r="B4">
        <v>0.25390000000000001</v>
      </c>
    </row>
    <row r="5" spans="1:2" x14ac:dyDescent="0.3">
      <c r="A5">
        <f>A4+494</f>
        <v>1497</v>
      </c>
      <c r="B5">
        <v>0.37719999999999998</v>
      </c>
    </row>
    <row r="6" spans="1:2" x14ac:dyDescent="0.3">
      <c r="A6">
        <f>A5+516</f>
        <v>2013</v>
      </c>
      <c r="B6">
        <v>0.50649999999999995</v>
      </c>
    </row>
    <row r="7" spans="1:2" x14ac:dyDescent="0.3">
      <c r="A7">
        <f>A8-494</f>
        <v>2540</v>
      </c>
      <c r="B7">
        <v>0.63919999999999999</v>
      </c>
    </row>
    <row r="8" spans="1:2" x14ac:dyDescent="0.3">
      <c r="A8">
        <f>A9-509</f>
        <v>3034</v>
      </c>
      <c r="B8">
        <v>0.76219999999999999</v>
      </c>
    </row>
    <row r="9" spans="1:2" x14ac:dyDescent="0.3">
      <c r="A9">
        <f>A10-515</f>
        <v>3543</v>
      </c>
      <c r="B9">
        <v>0.88970000000000005</v>
      </c>
    </row>
    <row r="10" spans="1:2" x14ac:dyDescent="0.3">
      <c r="A10">
        <f>A11-492</f>
        <v>4058</v>
      </c>
      <c r="B10">
        <v>1.018</v>
      </c>
    </row>
    <row r="11" spans="1:2" x14ac:dyDescent="0.3">
      <c r="A11">
        <v>4550</v>
      </c>
      <c r="B11">
        <v>1.141</v>
      </c>
    </row>
    <row r="12" spans="1:2" x14ac:dyDescent="0.3">
      <c r="A12">
        <f>A13-495</f>
        <v>4955</v>
      </c>
      <c r="B12">
        <v>1.248</v>
      </c>
    </row>
    <row r="13" spans="1:2" x14ac:dyDescent="0.3">
      <c r="A13">
        <f>A14-509</f>
        <v>5450</v>
      </c>
      <c r="B13">
        <v>1.3680000000000001</v>
      </c>
    </row>
    <row r="14" spans="1:2" x14ac:dyDescent="0.3">
      <c r="A14">
        <f>A15-495</f>
        <v>5959</v>
      </c>
      <c r="B14">
        <v>1.496</v>
      </c>
    </row>
    <row r="15" spans="1:2" x14ac:dyDescent="0.3">
      <c r="A15">
        <f>A16-494</f>
        <v>6454</v>
      </c>
      <c r="B15">
        <v>1.6180000000000001</v>
      </c>
    </row>
    <row r="16" spans="1:2" x14ac:dyDescent="0.3">
      <c r="A16">
        <f>A17-2539+1992</f>
        <v>6948</v>
      </c>
      <c r="B16">
        <v>1.74</v>
      </c>
    </row>
    <row r="17" spans="1:2" x14ac:dyDescent="0.3">
      <c r="A17">
        <f>A18-494</f>
        <v>7495</v>
      </c>
      <c r="B17">
        <v>1.875</v>
      </c>
    </row>
    <row r="18" spans="1:2" x14ac:dyDescent="0.3">
      <c r="A18">
        <f>8483-494</f>
        <v>7989</v>
      </c>
      <c r="B18">
        <v>1.998</v>
      </c>
    </row>
    <row r="19" spans="1:2" x14ac:dyDescent="0.3">
      <c r="A19">
        <f>8998-515</f>
        <v>8483</v>
      </c>
      <c r="B19">
        <v>2.1240000000000001</v>
      </c>
    </row>
    <row r="20" spans="1:2" x14ac:dyDescent="0.3">
      <c r="A20">
        <f>9507-509</f>
        <v>8998</v>
      </c>
      <c r="B20">
        <v>2.2490000000000001</v>
      </c>
    </row>
    <row r="21" spans="1:2" x14ac:dyDescent="0.3">
      <c r="A21">
        <f>10001-494</f>
        <v>9507</v>
      </c>
      <c r="B21">
        <v>2.371</v>
      </c>
    </row>
    <row r="22" spans="1:2" x14ac:dyDescent="0.3">
      <c r="A22">
        <v>10001</v>
      </c>
      <c r="B22">
        <v>2.496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62E7-2A8F-490B-83CD-1AAF3CB449AC}">
  <dimension ref="A1:D12"/>
  <sheetViews>
    <sheetView tabSelected="1" workbookViewId="0">
      <selection activeCell="I22" sqref="I22"/>
    </sheetView>
  </sheetViews>
  <sheetFormatPr defaultRowHeight="14.4" x14ac:dyDescent="0.3"/>
  <sheetData>
    <row r="1" spans="1:4" x14ac:dyDescent="0.3">
      <c r="A1" t="s">
        <v>2</v>
      </c>
      <c r="B1" t="s">
        <v>3</v>
      </c>
      <c r="C1" t="s">
        <v>4</v>
      </c>
      <c r="D1" t="s">
        <v>5</v>
      </c>
    </row>
    <row r="2" spans="1:4" x14ac:dyDescent="0.3">
      <c r="A2">
        <v>0</v>
      </c>
      <c r="B2">
        <v>480.6</v>
      </c>
      <c r="C2">
        <f>B2-A2</f>
        <v>480.6</v>
      </c>
    </row>
    <row r="3" spans="1:4" x14ac:dyDescent="0.3">
      <c r="A3">
        <v>1025</v>
      </c>
      <c r="B3">
        <v>1593</v>
      </c>
      <c r="C3">
        <f t="shared" ref="C3:C12" si="0">B3-A3</f>
        <v>568</v>
      </c>
    </row>
    <row r="4" spans="1:4" x14ac:dyDescent="0.3">
      <c r="A4">
        <f>A3+990</f>
        <v>2015</v>
      </c>
      <c r="B4">
        <v>2214</v>
      </c>
      <c r="C4">
        <f t="shared" si="0"/>
        <v>199</v>
      </c>
    </row>
    <row r="5" spans="1:4" x14ac:dyDescent="0.3">
      <c r="A5">
        <v>3055</v>
      </c>
      <c r="B5">
        <v>3427</v>
      </c>
      <c r="C5">
        <f>B5-A5</f>
        <v>372</v>
      </c>
    </row>
    <row r="6" spans="1:4" x14ac:dyDescent="0.3">
      <c r="A6">
        <f>A5+991</f>
        <v>4046</v>
      </c>
      <c r="B6">
        <v>4424</v>
      </c>
      <c r="C6">
        <f>B6-A6</f>
        <v>378</v>
      </c>
    </row>
    <row r="7" spans="1:4" x14ac:dyDescent="0.3">
      <c r="A7">
        <f>A6+1024</f>
        <v>5070</v>
      </c>
      <c r="B7">
        <v>5449</v>
      </c>
      <c r="C7">
        <f t="shared" si="0"/>
        <v>379</v>
      </c>
    </row>
    <row r="8" spans="1:4" x14ac:dyDescent="0.3">
      <c r="A8">
        <f>4978+990</f>
        <v>5968</v>
      </c>
      <c r="B8">
        <v>6277</v>
      </c>
      <c r="C8">
        <f>B8-A8</f>
        <v>309</v>
      </c>
    </row>
    <row r="9" spans="1:4" x14ac:dyDescent="0.3">
      <c r="A9">
        <f>A8+989</f>
        <v>6957</v>
      </c>
      <c r="B9">
        <v>7162</v>
      </c>
      <c r="C9">
        <f>B9-A9</f>
        <v>205</v>
      </c>
    </row>
    <row r="10" spans="1:4" x14ac:dyDescent="0.3">
      <c r="A10">
        <f>A9+1024</f>
        <v>7981</v>
      </c>
      <c r="B10">
        <v>8199</v>
      </c>
      <c r="C10">
        <f t="shared" si="0"/>
        <v>218</v>
      </c>
    </row>
    <row r="11" spans="1:4" x14ac:dyDescent="0.3">
      <c r="A11">
        <f>7430+1518</f>
        <v>8948</v>
      </c>
      <c r="B11">
        <v>9432</v>
      </c>
      <c r="C11">
        <f t="shared" si="0"/>
        <v>484</v>
      </c>
    </row>
    <row r="12" spans="1:4" x14ac:dyDescent="0.3">
      <c r="A12">
        <f>A11+990</f>
        <v>9938</v>
      </c>
      <c r="B12">
        <v>10430</v>
      </c>
      <c r="C12">
        <f t="shared" si="0"/>
        <v>492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EAC64-E536-4484-8870-352A426440A8}">
  <dimension ref="A1:C12"/>
  <sheetViews>
    <sheetView workbookViewId="0">
      <selection activeCell="S21" sqref="S21"/>
    </sheetView>
  </sheetViews>
  <sheetFormatPr defaultRowHeight="14.4" x14ac:dyDescent="0.3"/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>
        <v>0</v>
      </c>
      <c r="B2">
        <v>254.8</v>
      </c>
      <c r="C2">
        <f>B2-A2</f>
        <v>254.8</v>
      </c>
    </row>
    <row r="3" spans="1:3" x14ac:dyDescent="0.3">
      <c r="A3">
        <f>A4-988</f>
        <v>1003</v>
      </c>
      <c r="B3">
        <v>1045</v>
      </c>
      <c r="C3">
        <f t="shared" ref="C3:C12" si="0">B3-A3</f>
        <v>42</v>
      </c>
    </row>
    <row r="4" spans="1:3" x14ac:dyDescent="0.3">
      <c r="A4">
        <v>1991</v>
      </c>
      <c r="B4">
        <v>2059</v>
      </c>
      <c r="C4">
        <f t="shared" si="0"/>
        <v>68</v>
      </c>
    </row>
    <row r="5" spans="1:3" x14ac:dyDescent="0.3">
      <c r="A5">
        <f>A6-1002</f>
        <v>3072</v>
      </c>
      <c r="B5">
        <v>3167</v>
      </c>
      <c r="C5">
        <f t="shared" si="0"/>
        <v>95</v>
      </c>
    </row>
    <row r="6" spans="1:3" x14ac:dyDescent="0.3">
      <c r="A6">
        <v>4074</v>
      </c>
      <c r="B6">
        <v>4214</v>
      </c>
      <c r="C6">
        <f t="shared" si="0"/>
        <v>140</v>
      </c>
    </row>
    <row r="7" spans="1:3" x14ac:dyDescent="0.3">
      <c r="A7">
        <v>4918</v>
      </c>
      <c r="B7">
        <v>5161</v>
      </c>
      <c r="C7">
        <f t="shared" si="0"/>
        <v>243</v>
      </c>
    </row>
    <row r="8" spans="1:3" x14ac:dyDescent="0.3">
      <c r="A8">
        <f>A9-1009</f>
        <v>5877</v>
      </c>
      <c r="B8">
        <v>6202</v>
      </c>
      <c r="C8">
        <f t="shared" si="0"/>
        <v>325</v>
      </c>
    </row>
    <row r="9" spans="1:3" x14ac:dyDescent="0.3">
      <c r="A9">
        <f>A10-3065+2011</f>
        <v>6886</v>
      </c>
      <c r="B9">
        <v>6819</v>
      </c>
      <c r="C9">
        <f t="shared" si="0"/>
        <v>-67</v>
      </c>
    </row>
    <row r="10" spans="1:3" x14ac:dyDescent="0.3">
      <c r="A10">
        <f>A11-1008</f>
        <v>7940</v>
      </c>
      <c r="B10">
        <v>8253</v>
      </c>
      <c r="C10">
        <f t="shared" si="0"/>
        <v>313</v>
      </c>
    </row>
    <row r="11" spans="1:3" x14ac:dyDescent="0.3">
      <c r="A11">
        <f>A12-990</f>
        <v>8948</v>
      </c>
      <c r="B11">
        <v>9278</v>
      </c>
      <c r="C11">
        <f t="shared" si="0"/>
        <v>330</v>
      </c>
    </row>
    <row r="12" spans="1:3" x14ac:dyDescent="0.3">
      <c r="A12">
        <v>9938</v>
      </c>
      <c r="B12">
        <v>10430</v>
      </c>
      <c r="C12">
        <f t="shared" si="0"/>
        <v>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4030-B3F8-4578-B8C5-7BB0C8707531}">
  <dimension ref="A1:F12"/>
  <sheetViews>
    <sheetView zoomScale="70" zoomScaleNormal="70" workbookViewId="0">
      <selection activeCell="S21" sqref="S21"/>
    </sheetView>
  </sheetViews>
  <sheetFormatPr defaultRowHeight="14.4" x14ac:dyDescent="0.3"/>
  <sheetData>
    <row r="1" spans="1:6" x14ac:dyDescent="0.3">
      <c r="A1" t="s">
        <v>2</v>
      </c>
      <c r="B1" t="s">
        <v>3</v>
      </c>
      <c r="C1" t="s">
        <v>4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>
        <v>480.6</v>
      </c>
      <c r="C2">
        <v>480.6</v>
      </c>
      <c r="D2">
        <v>0</v>
      </c>
      <c r="E2">
        <v>254.8</v>
      </c>
      <c r="F2">
        <v>254.8</v>
      </c>
    </row>
    <row r="3" spans="1:6" x14ac:dyDescent="0.3">
      <c r="A3">
        <v>1025</v>
      </c>
      <c r="B3">
        <v>1593</v>
      </c>
      <c r="C3">
        <v>568</v>
      </c>
      <c r="D3">
        <v>1003</v>
      </c>
      <c r="E3">
        <v>1045</v>
      </c>
      <c r="F3">
        <v>42</v>
      </c>
    </row>
    <row r="4" spans="1:6" x14ac:dyDescent="0.3">
      <c r="A4">
        <v>2015</v>
      </c>
      <c r="B4">
        <v>2214</v>
      </c>
      <c r="C4">
        <v>199</v>
      </c>
      <c r="D4">
        <v>1991</v>
      </c>
      <c r="E4">
        <v>2059</v>
      </c>
      <c r="F4">
        <v>68</v>
      </c>
    </row>
    <row r="5" spans="1:6" x14ac:dyDescent="0.3">
      <c r="A5">
        <v>3055</v>
      </c>
      <c r="B5">
        <v>3427</v>
      </c>
      <c r="C5">
        <v>372</v>
      </c>
      <c r="D5">
        <v>3072</v>
      </c>
      <c r="E5">
        <v>3167</v>
      </c>
      <c r="F5">
        <v>95</v>
      </c>
    </row>
    <row r="6" spans="1:6" x14ac:dyDescent="0.3">
      <c r="A6">
        <v>4046</v>
      </c>
      <c r="B6">
        <v>4424</v>
      </c>
      <c r="C6">
        <v>378</v>
      </c>
      <c r="D6">
        <v>4074</v>
      </c>
      <c r="E6">
        <v>4214</v>
      </c>
      <c r="F6">
        <v>140</v>
      </c>
    </row>
    <row r="7" spans="1:6" x14ac:dyDescent="0.3">
      <c r="A7">
        <v>5070</v>
      </c>
      <c r="B7">
        <v>5449</v>
      </c>
      <c r="C7">
        <v>379</v>
      </c>
      <c r="D7">
        <v>4918</v>
      </c>
      <c r="E7">
        <v>5161</v>
      </c>
      <c r="F7">
        <v>243</v>
      </c>
    </row>
    <row r="8" spans="1:6" x14ac:dyDescent="0.3">
      <c r="A8">
        <v>5968</v>
      </c>
      <c r="B8">
        <v>6277</v>
      </c>
      <c r="C8">
        <v>309</v>
      </c>
      <c r="D8">
        <v>5877</v>
      </c>
      <c r="E8">
        <v>6202</v>
      </c>
      <c r="F8">
        <v>325</v>
      </c>
    </row>
    <row r="9" spans="1:6" x14ac:dyDescent="0.3">
      <c r="A9">
        <v>6957</v>
      </c>
      <c r="B9">
        <v>7162</v>
      </c>
      <c r="C9">
        <v>205</v>
      </c>
      <c r="D9">
        <v>6886</v>
      </c>
      <c r="E9">
        <v>6819</v>
      </c>
      <c r="F9">
        <v>-67</v>
      </c>
    </row>
    <row r="10" spans="1:6" x14ac:dyDescent="0.3">
      <c r="A10">
        <v>7981</v>
      </c>
      <c r="B10">
        <v>8199</v>
      </c>
      <c r="C10">
        <v>218</v>
      </c>
      <c r="D10">
        <v>7940</v>
      </c>
      <c r="E10">
        <v>8253</v>
      </c>
      <c r="F10">
        <v>313</v>
      </c>
    </row>
    <row r="11" spans="1:6" x14ac:dyDescent="0.3">
      <c r="A11">
        <v>8948</v>
      </c>
      <c r="B11">
        <v>9432</v>
      </c>
      <c r="C11">
        <v>484</v>
      </c>
      <c r="D11">
        <v>8948</v>
      </c>
      <c r="E11">
        <v>9278</v>
      </c>
      <c r="F11">
        <v>330</v>
      </c>
    </row>
    <row r="12" spans="1:6" x14ac:dyDescent="0.3">
      <c r="A12">
        <v>9938</v>
      </c>
      <c r="B12">
        <v>10430</v>
      </c>
      <c r="C12">
        <v>492</v>
      </c>
      <c r="D12">
        <v>9938</v>
      </c>
      <c r="E12">
        <v>10430</v>
      </c>
      <c r="F12">
        <v>492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sat1</vt:lpstr>
      <vt:lpstr>charac2</vt:lpstr>
      <vt:lpstr>diff1</vt:lpstr>
      <vt:lpstr>diff2</vt:lpstr>
      <vt:lpstr>diffg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passakorn junlapaet</dc:creator>
  <cp:lastModifiedBy>passakorn junlapaet</cp:lastModifiedBy>
  <dcterms:created xsi:type="dcterms:W3CDTF">2026-10-02T08:24:05Z</dcterms:created>
  <dcterms:modified xsi:type="dcterms:W3CDTF">2026-10-03T11:57:24Z</dcterms:modified>
</cp:coreProperties>
</file>
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13_ncr:1_{9B809A23-6047-43A9-A0BF-14440900E630}" xr6:coauthVersionLast="47" xr6:coauthVersionMax="47" xr10:uidLastSave="{00000000-0000-0000-0000-000000000000}"/>
  <bookViews>
    <workbookView xWindow="-104" yWindow="-104" windowWidth="22326" windowHeight="12649" activeTab="8" xr2:uid="{E43D4B9B-E5E4-4971-BCAD-628CA49C201D}"/>
  </bookViews>
  <sheets>
    <sheet name="test1" sheetId="1" r:id="rId1"/>
    <sheet name="test2" sheetId="2" r:id="rId2"/>
    <sheet name="test3" sheetId="6" r:id="rId3"/>
    <sheet name="test4" sheetId="7" r:id="rId4"/>
    <sheet name="test5" sheetId="8" r:id="rId5"/>
    <sheet name="avgVoltageAndWeigth" sheetId="9" r:id="rId6"/>
    <sheet name="sat1" sheetId="5" r:id="rId7"/>
    <sheet name="diff1" sheetId="3" r:id="rId8"/>
    <sheet name="calibrate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" i="9" l="1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" i="9"/>
  <c r="U3" i="9"/>
  <c r="U4" i="9"/>
  <c r="U5" i="9"/>
  <c r="U6" i="9"/>
  <c r="U7" i="9"/>
  <c r="U8" i="9"/>
  <c r="U12" i="9"/>
  <c r="U14" i="9"/>
  <c r="U15" i="9"/>
  <c r="U16" i="9"/>
  <c r="U17" i="9"/>
  <c r="U18" i="9"/>
  <c r="U2" i="9"/>
  <c r="B19" i="9"/>
  <c r="B20" i="9" s="1"/>
  <c r="B21" i="9" s="1"/>
  <c r="B22" i="9" s="1"/>
  <c r="U22" i="9" s="1"/>
  <c r="B14" i="9"/>
  <c r="B15" i="9" s="1"/>
  <c r="B16" i="9" s="1"/>
  <c r="B17" i="9" s="1"/>
  <c r="B18" i="9" s="1"/>
  <c r="B9" i="9"/>
  <c r="B10" i="9" s="1"/>
  <c r="B11" i="9" s="1"/>
  <c r="B12" i="9" s="1"/>
  <c r="B13" i="9" s="1"/>
  <c r="U13" i="9" s="1"/>
  <c r="B3" i="9"/>
  <c r="B4" i="9" s="1"/>
  <c r="B5" i="9" s="1"/>
  <c r="B6" i="9" s="1"/>
  <c r="B7" i="9" s="1"/>
  <c r="B8" i="9" s="1"/>
  <c r="C7" i="4"/>
  <c r="C3" i="4"/>
  <c r="C4" i="4"/>
  <c r="C5" i="4"/>
  <c r="C6" i="4"/>
  <c r="C2" i="4"/>
  <c r="C4" i="3"/>
  <c r="C6" i="3"/>
  <c r="C8" i="3"/>
  <c r="C11" i="3"/>
  <c r="C2" i="3"/>
  <c r="A9" i="3"/>
  <c r="C9" i="3" s="1"/>
  <c r="A7" i="3"/>
  <c r="C7" i="3" s="1"/>
  <c r="A5" i="3"/>
  <c r="C5" i="3" s="1"/>
  <c r="A3" i="3"/>
  <c r="C3" i="3" s="1"/>
  <c r="B19" i="1"/>
  <c r="B20" i="1" s="1"/>
  <c r="B21" i="1" s="1"/>
  <c r="B22" i="1" s="1"/>
  <c r="B18" i="1"/>
  <c r="B14" i="1"/>
  <c r="B9" i="1"/>
  <c r="B3" i="1"/>
  <c r="B4" i="1"/>
  <c r="B5" i="1" s="1"/>
  <c r="B6" i="1" s="1"/>
  <c r="B7" i="1" s="1"/>
  <c r="B8" i="1" s="1"/>
  <c r="U11" i="9" l="1"/>
  <c r="U20" i="9"/>
  <c r="U19" i="9"/>
  <c r="U10" i="9"/>
  <c r="U9" i="9"/>
  <c r="U21" i="9"/>
  <c r="A10" i="3"/>
  <c r="C10" i="3" s="1"/>
  <c r="B10" i="1"/>
  <c r="B11" i="1" s="1"/>
  <c r="B12" i="1" s="1"/>
  <c r="B13" i="1" s="1"/>
  <c r="B15" i="1" s="1"/>
  <c r="B16" i="1" s="1"/>
  <c r="B17" i="1" s="1"/>
</calcChain>
</file>

<file path=xl/sharedStrings.xml><?xml version="1.0" encoding="utf-8"?>
<sst xmlns="http://schemas.openxmlformats.org/spreadsheetml/2006/main" count="82" uniqueCount="22">
  <si>
    <t>voltage(V)</t>
  </si>
  <si>
    <t xml:space="preserve"> mass(g)</t>
  </si>
  <si>
    <t>add</t>
  </si>
  <si>
    <t>mass(g)</t>
  </si>
  <si>
    <t>diff(g)</t>
  </si>
  <si>
    <t>measured(g)</t>
  </si>
  <si>
    <t>Mass(g)</t>
  </si>
  <si>
    <t>Voltage(V)</t>
  </si>
  <si>
    <t>MASSAVG</t>
  </si>
  <si>
    <t>VOLT AVG</t>
  </si>
  <si>
    <t>TEST1</t>
  </si>
  <si>
    <t>TEST2</t>
  </si>
  <si>
    <t>TEST3</t>
  </si>
  <si>
    <t>TEST4</t>
  </si>
  <si>
    <t>TEST5</t>
  </si>
  <si>
    <t>AVERAGE</t>
  </si>
  <si>
    <t>TEST 3 mass(g)</t>
  </si>
  <si>
    <t>TEST 3 voltage(V)</t>
  </si>
  <si>
    <t>TEST 4 mass(g)</t>
  </si>
  <si>
    <t>TEST 4 voltage(V)</t>
  </si>
  <si>
    <t>TEST 5 mass(g)</t>
  </si>
  <si>
    <t>TEST 5 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</si>
</sst>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"/>
    <numFmt numFmtId="165" formatCode="0.000000000000000"/>
    <numFmt numFmtId="168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test1!$C$1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test1!$B$2:$B$22</c:f>
              <c:numCache>
                <c:formatCode>General</c:formatCode>
                <c:ptCount val="21"/>
                <c:pt idx="0">
                  <c:v>0</c:v>
                </c:pt>
                <c:pt idx="1">
                  <c:v>514</c:v>
                </c:pt>
                <c:pt idx="2">
                  <c:v>1008</c:v>
                </c:pt>
                <c:pt idx="3">
                  <c:v>1505</c:v>
                </c:pt>
                <c:pt idx="4">
                  <c:v>2001</c:v>
                </c:pt>
                <c:pt idx="5">
                  <c:v>2494</c:v>
                </c:pt>
                <c:pt idx="6">
                  <c:v>3004</c:v>
                </c:pt>
                <c:pt idx="7">
                  <c:v>3571</c:v>
                </c:pt>
                <c:pt idx="8">
                  <c:v>4080</c:v>
                </c:pt>
                <c:pt idx="9">
                  <c:v>4573</c:v>
                </c:pt>
                <c:pt idx="10">
                  <c:v>5069</c:v>
                </c:pt>
                <c:pt idx="11">
                  <c:v>5566</c:v>
                </c:pt>
                <c:pt idx="12">
                  <c:v>5971</c:v>
                </c:pt>
                <c:pt idx="13">
                  <c:v>6466</c:v>
                </c:pt>
                <c:pt idx="14">
                  <c:v>6981</c:v>
                </c:pt>
                <c:pt idx="15">
                  <c:v>7476</c:v>
                </c:pt>
                <c:pt idx="16">
                  <c:v>7972</c:v>
                </c:pt>
                <c:pt idx="17">
                  <c:v>8536</c:v>
                </c:pt>
                <c:pt idx="18">
                  <c:v>9051</c:v>
                </c:pt>
                <c:pt idx="19">
                  <c:v>9545</c:v>
                </c:pt>
                <c:pt idx="20">
                  <c:v>10037</c:v>
                </c:pt>
              </c:numCache>
            </c:numRef>
          </c:xVal>
          <c:yVal>
            <c:numRef>
              <c:f>test1!$C$2:$C$22</c:f>
              <c:numCache>
                <c:formatCode>0.00000000000000</c:formatCode>
                <c:ptCount val="21"/>
                <c:pt idx="0">
                  <c:v>3.6883300781250003E-2</c:v>
                </c:pt>
                <c:pt idx="1">
                  <c:v>0.16944726562500001</c:v>
                </c:pt>
                <c:pt idx="2">
                  <c:v>0.33652587890625002</c:v>
                </c:pt>
                <c:pt idx="3">
                  <c:v>0.50429736328124997</c:v>
                </c:pt>
                <c:pt idx="4">
                  <c:v>0.67157739257811999</c:v>
                </c:pt>
                <c:pt idx="5">
                  <c:v>0.83870434570313002</c:v>
                </c:pt>
                <c:pt idx="6">
                  <c:v>1.0104719238280999</c:v>
                </c:pt>
                <c:pt idx="7">
                  <c:v>1.1963547363281</c:v>
                </c:pt>
                <c:pt idx="8">
                  <c:v>1.3708776855469</c:v>
                </c:pt>
                <c:pt idx="9">
                  <c:v>1.5357568359375</c:v>
                </c:pt>
                <c:pt idx="10">
                  <c:v>1.70272265625</c:v>
                </c:pt>
                <c:pt idx="11">
                  <c:v>1.8707600097656001</c:v>
                </c:pt>
                <c:pt idx="12">
                  <c:v>2.0153525390625</c:v>
                </c:pt>
                <c:pt idx="13">
                  <c:v>2.1740200195311998</c:v>
                </c:pt>
                <c:pt idx="14">
                  <c:v>2.3550124511719002</c:v>
                </c:pt>
                <c:pt idx="15">
                  <c:v>2.5225664062500002</c:v>
                </c:pt>
                <c:pt idx="16">
                  <c:v>2.68705883378906</c:v>
                </c:pt>
                <c:pt idx="17">
                  <c:v>2.8758662109375002</c:v>
                </c:pt>
                <c:pt idx="18">
                  <c:v>3.0477867652344002</c:v>
                </c:pt>
                <c:pt idx="19">
                  <c:v>3.2158564453124998</c:v>
                </c:pt>
                <c:pt idx="20">
                  <c:v>3.2991943359375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E-4E6F-9235-10F0E5BAF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13839"/>
        <c:axId val="2126769647"/>
      </c:scatterChart>
      <c:valAx>
        <c:axId val="14411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769647"/>
        <c:crosses val="autoZero"/>
        <c:crossBetween val="midCat"/>
      </c:valAx>
      <c:valAx>
        <c:axId val="212676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test2!$B$2:$B$22</c:f>
              <c:numCache>
                <c:formatCode>General</c:formatCode>
                <c:ptCount val="21"/>
                <c:pt idx="0">
                  <c:v>0</c:v>
                </c:pt>
                <c:pt idx="1">
                  <c:v>489</c:v>
                </c:pt>
                <c:pt idx="2">
                  <c:v>985</c:v>
                </c:pt>
                <c:pt idx="3">
                  <c:v>1500</c:v>
                </c:pt>
                <c:pt idx="4">
                  <c:v>1995</c:v>
                </c:pt>
                <c:pt idx="5">
                  <c:v>2560</c:v>
                </c:pt>
                <c:pt idx="6">
                  <c:v>3053</c:v>
                </c:pt>
                <c:pt idx="7">
                  <c:v>3549</c:v>
                </c:pt>
                <c:pt idx="8">
                  <c:v>4064</c:v>
                </c:pt>
                <c:pt idx="9">
                  <c:v>4559</c:v>
                </c:pt>
                <c:pt idx="10">
                  <c:v>4971</c:v>
                </c:pt>
                <c:pt idx="11">
                  <c:v>5467</c:v>
                </c:pt>
                <c:pt idx="12">
                  <c:v>5959</c:v>
                </c:pt>
                <c:pt idx="13">
                  <c:v>6454</c:v>
                </c:pt>
                <c:pt idx="14">
                  <c:v>6968</c:v>
                </c:pt>
                <c:pt idx="15">
                  <c:v>7544</c:v>
                </c:pt>
                <c:pt idx="16">
                  <c:v>8040</c:v>
                </c:pt>
                <c:pt idx="17">
                  <c:v>8535</c:v>
                </c:pt>
                <c:pt idx="18">
                  <c:v>9029</c:v>
                </c:pt>
                <c:pt idx="19">
                  <c:v>9544</c:v>
                </c:pt>
                <c:pt idx="20">
                  <c:v>10037</c:v>
                </c:pt>
              </c:numCache>
            </c:numRef>
          </c:xVal>
          <c:yVal>
            <c:numRef>
              <c:f>test2!$C$2:$C$22</c:f>
              <c:numCache>
                <c:formatCode>0.000000000000000</c:formatCode>
                <c:ptCount val="21"/>
                <c:pt idx="0">
                  <c:v>3.7149169921875003E-2</c:v>
                </c:pt>
                <c:pt idx="1">
                  <c:v>0.16215600585938</c:v>
                </c:pt>
                <c:pt idx="2">
                  <c:v>0.32984692382811998</c:v>
                </c:pt>
                <c:pt idx="3">
                  <c:v>0.50529638671874999</c:v>
                </c:pt>
                <c:pt idx="4">
                  <c:v>0.67258447265624999</c:v>
                </c:pt>
                <c:pt idx="5">
                  <c:v>0.86115820312500002</c:v>
                </c:pt>
                <c:pt idx="6">
                  <c:v>1.0303557128906</c:v>
                </c:pt>
                <c:pt idx="7">
                  <c:v>1.1973698730469</c:v>
                </c:pt>
                <c:pt idx="8">
                  <c:v>1.3720861816406</c:v>
                </c:pt>
                <c:pt idx="9">
                  <c:v>1.5390922851561999</c:v>
                </c:pt>
                <c:pt idx="10">
                  <c:v>1.6834270019530999</c:v>
                </c:pt>
                <c:pt idx="11">
                  <c:v>1.8478630371094</c:v>
                </c:pt>
                <c:pt idx="12">
                  <c:v>2.0177211914062001</c:v>
                </c:pt>
                <c:pt idx="13">
                  <c:v>2.1857666015624999</c:v>
                </c:pt>
                <c:pt idx="14">
                  <c:v>2.3611435546875001</c:v>
                </c:pt>
                <c:pt idx="15">
                  <c:v>2.5548896484374999</c:v>
                </c:pt>
                <c:pt idx="16">
                  <c:v>2.7156276855469001</c:v>
                </c:pt>
                <c:pt idx="17">
                  <c:v>2.8830607910156001</c:v>
                </c:pt>
                <c:pt idx="18">
                  <c:v>3.0533378906249999</c:v>
                </c:pt>
                <c:pt idx="19">
                  <c:v>3.2234619140624998</c:v>
                </c:pt>
                <c:pt idx="20">
                  <c:v>3.2991943359375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1-44C7-A82F-0CDA202D0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271151"/>
        <c:axId val="2126845007"/>
      </c:scatterChart>
      <c:valAx>
        <c:axId val="42827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845007"/>
        <c:crosses val="autoZero"/>
        <c:crossBetween val="midCat"/>
      </c:valAx>
      <c:valAx>
        <c:axId val="21268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7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'sat1'!$B$1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'sat1'!$A$2:$A$21</c:f>
              <c:numCache>
                <c:formatCode>General</c:formatCode>
                <c:ptCount val="20"/>
                <c:pt idx="0">
                  <c:v>0</c:v>
                </c:pt>
                <c:pt idx="1">
                  <c:v>509</c:v>
                </c:pt>
                <c:pt idx="2">
                  <c:v>997</c:v>
                </c:pt>
                <c:pt idx="3">
                  <c:v>1504</c:v>
                </c:pt>
                <c:pt idx="4">
                  <c:v>2018</c:v>
                </c:pt>
                <c:pt idx="5">
                  <c:v>2515</c:v>
                </c:pt>
                <c:pt idx="6">
                  <c:v>3030</c:v>
                </c:pt>
                <c:pt idx="7">
                  <c:v>3582</c:v>
                </c:pt>
                <c:pt idx="8">
                  <c:v>4071</c:v>
                </c:pt>
                <c:pt idx="9">
                  <c:v>4574</c:v>
                </c:pt>
                <c:pt idx="10">
                  <c:v>4918</c:v>
                </c:pt>
                <c:pt idx="11">
                  <c:v>5471</c:v>
                </c:pt>
                <c:pt idx="12">
                  <c:v>5982</c:v>
                </c:pt>
                <c:pt idx="13">
                  <c:v>6489</c:v>
                </c:pt>
                <c:pt idx="14">
                  <c:v>6915</c:v>
                </c:pt>
                <c:pt idx="15">
                  <c:v>7482</c:v>
                </c:pt>
                <c:pt idx="16">
                  <c:v>7997</c:v>
                </c:pt>
                <c:pt idx="17">
                  <c:v>8486</c:v>
                </c:pt>
                <c:pt idx="18">
                  <c:v>9469</c:v>
                </c:pt>
                <c:pt idx="19">
                  <c:v>9995</c:v>
                </c:pt>
              </c:numCache>
            </c:numRef>
          </c:xVal>
          <c:yVal>
            <c:numRef>
              <c:f>'sat1'!$B$2:$B$21</c:f>
              <c:numCache>
                <c:formatCode>General</c:formatCode>
                <c:ptCount val="20"/>
                <c:pt idx="0">
                  <c:v>8.2559999999999995E-2</c:v>
                </c:pt>
                <c:pt idx="1">
                  <c:v>0.22720000000000001</c:v>
                </c:pt>
                <c:pt idx="2">
                  <c:v>0.4093</c:v>
                </c:pt>
                <c:pt idx="3">
                  <c:v>0.5948</c:v>
                </c:pt>
                <c:pt idx="4">
                  <c:v>0.79810000000000003</c:v>
                </c:pt>
                <c:pt idx="5">
                  <c:v>0.9748</c:v>
                </c:pt>
                <c:pt idx="6">
                  <c:v>1.1679999999999999</c:v>
                </c:pt>
                <c:pt idx="7">
                  <c:v>1.3720000000000001</c:v>
                </c:pt>
                <c:pt idx="8">
                  <c:v>1.5529999999999999</c:v>
                </c:pt>
                <c:pt idx="9">
                  <c:v>1.742</c:v>
                </c:pt>
                <c:pt idx="10">
                  <c:v>1.9</c:v>
                </c:pt>
                <c:pt idx="11">
                  <c:v>2.081</c:v>
                </c:pt>
                <c:pt idx="12">
                  <c:v>2.2789999999999999</c:v>
                </c:pt>
                <c:pt idx="13">
                  <c:v>2.4889999999999999</c:v>
                </c:pt>
                <c:pt idx="14">
                  <c:v>2.5339999999999998</c:v>
                </c:pt>
                <c:pt idx="15">
                  <c:v>2.5449999999999999</c:v>
                </c:pt>
                <c:pt idx="16">
                  <c:v>2.5470000000000002</c:v>
                </c:pt>
                <c:pt idx="17">
                  <c:v>2.544</c:v>
                </c:pt>
                <c:pt idx="18">
                  <c:v>2.5369999999999999</c:v>
                </c:pt>
                <c:pt idx="19">
                  <c:v>2.5409999999999999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6C-42DF-A292-646C7437B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279503"/>
        <c:axId val="2126776367"/>
      </c:scatterChart>
      <c:valAx>
        <c:axId val="42827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776367"/>
        <c:crosses val="autoZero"/>
        <c:crossBetween val="midCat"/>
      </c:valAx>
      <c:valAx>
        <c:axId val="212677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7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62179</xdr:colOff>
      <xdr:row>3</xdr:row>
      <xdr:rowOff>65836</xdr:rowOff>
    </xdr:from>
    <xdr:to>
      <xdr:col>11</xdr:col>
      <xdr:colOff>128016</xdr:colOff>
      <xdr:row>18</xdr:row>
      <xdr:rowOff>65836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1F56A-4293-FFA3-2210-025AC62CF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120700</xdr:colOff>
      <xdr:row>4</xdr:row>
      <xdr:rowOff>51206</xdr:rowOff>
    </xdr:from>
    <xdr:to>
      <xdr:col>11</xdr:col>
      <xdr:colOff>186537</xdr:colOff>
      <xdr:row>19</xdr:row>
      <xdr:rowOff>51206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539B9-9CE8-E19D-413B-6FE7C3119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431596</xdr:colOff>
      <xdr:row>0</xdr:row>
      <xdr:rowOff>6</xdr:rowOff>
    </xdr:from>
    <xdr:to>
      <xdr:col>8</xdr:col>
      <xdr:colOff>497433</xdr:colOff>
      <xdr:row>15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B195E-EEC1-5009-9608-F05759FDB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C49A-3E85-43ED-88F4-AB6AB5A85D4E}">
  <dimension ref="A1:C22"/>
  <sheetViews>
    <sheetView workbookViewId="0">
      <selection activeCell="C1" sqref="A1:C22"/>
    </sheetView>
  </sheetViews>
  <sheetFormatPr defaultRowHeight="14.4" x14ac:dyDescent="0.3"/>
  <cols>
    <col min="3" max="3" width="23.19921875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0</v>
      </c>
      <c r="B2">
        <v>0</v>
      </c>
      <c r="C2" s="1">
        <v>3.6883300781250003E-2</v>
      </c>
    </row>
    <row r="3" spans="1:3" x14ac:dyDescent="0.3">
      <c r="A3">
        <v>514</v>
      </c>
      <c r="B3">
        <f>B2+A3</f>
        <v>514</v>
      </c>
      <c r="C3" s="1">
        <v>0.16944726562500001</v>
      </c>
    </row>
    <row r="4" spans="1:3" x14ac:dyDescent="0.3">
      <c r="A4">
        <v>494</v>
      </c>
      <c r="B4">
        <f>B3+A4</f>
        <v>1008</v>
      </c>
      <c r="C4" s="1">
        <v>0.33652587890625002</v>
      </c>
    </row>
    <row r="5" spans="1:3" x14ac:dyDescent="0.3">
      <c r="A5">
        <v>497</v>
      </c>
      <c r="B5">
        <f t="shared" ref="B5:B22" si="0">B4+A5</f>
        <v>1505</v>
      </c>
      <c r="C5" s="1">
        <v>0.50429736328124997</v>
      </c>
    </row>
    <row r="6" spans="1:3" x14ac:dyDescent="0.3">
      <c r="A6">
        <v>496</v>
      </c>
      <c r="B6">
        <f t="shared" si="0"/>
        <v>2001</v>
      </c>
      <c r="C6" s="1">
        <v>0.67157739257811999</v>
      </c>
    </row>
    <row r="7" spans="1:3" x14ac:dyDescent="0.3">
      <c r="A7">
        <v>493</v>
      </c>
      <c r="B7">
        <f t="shared" si="0"/>
        <v>2494</v>
      </c>
      <c r="C7" s="1">
        <v>0.83870434570313002</v>
      </c>
    </row>
    <row r="8" spans="1:3" x14ac:dyDescent="0.3">
      <c r="A8">
        <v>510</v>
      </c>
      <c r="B8">
        <f t="shared" si="0"/>
        <v>3004</v>
      </c>
      <c r="C8" s="1">
        <v>1.0104719238280999</v>
      </c>
    </row>
    <row r="9" spans="1:3" x14ac:dyDescent="0.3">
      <c r="B9">
        <f>2562+1009</f>
        <v>3571</v>
      </c>
      <c r="C9" s="1">
        <v>1.1963547363281</v>
      </c>
    </row>
    <row r="10" spans="1:3" x14ac:dyDescent="0.3">
      <c r="A10">
        <v>509</v>
      </c>
      <c r="B10">
        <f t="shared" si="0"/>
        <v>4080</v>
      </c>
      <c r="C10" s="1">
        <v>1.3708776855469</v>
      </c>
    </row>
    <row r="11" spans="1:3" x14ac:dyDescent="0.3">
      <c r="A11">
        <v>493</v>
      </c>
      <c r="B11">
        <f t="shared" si="0"/>
        <v>4573</v>
      </c>
      <c r="C11" s="1">
        <v>1.5357568359375</v>
      </c>
    </row>
    <row r="12" spans="1:3" x14ac:dyDescent="0.3">
      <c r="A12">
        <v>496</v>
      </c>
      <c r="B12">
        <f t="shared" si="0"/>
        <v>5069</v>
      </c>
      <c r="C12" s="1">
        <v>1.70272265625</v>
      </c>
    </row>
    <row r="13" spans="1:3" x14ac:dyDescent="0.3">
      <c r="A13">
        <v>497</v>
      </c>
      <c r="B13">
        <f t="shared" si="0"/>
        <v>5566</v>
      </c>
      <c r="C13" s="1">
        <v>1.8707600097656001</v>
      </c>
    </row>
    <row r="14" spans="1:3" x14ac:dyDescent="0.3">
      <c r="B14">
        <f>5971</f>
        <v>5971</v>
      </c>
      <c r="C14" s="1">
        <v>2.0153525390625</v>
      </c>
    </row>
    <row r="15" spans="1:3" x14ac:dyDescent="0.3">
      <c r="A15">
        <v>495</v>
      </c>
      <c r="B15">
        <f t="shared" si="0"/>
        <v>6466</v>
      </c>
      <c r="C15" s="1">
        <v>2.1740200195311998</v>
      </c>
    </row>
    <row r="16" spans="1:3" x14ac:dyDescent="0.3">
      <c r="A16">
        <v>515</v>
      </c>
      <c r="B16">
        <f t="shared" si="0"/>
        <v>6981</v>
      </c>
      <c r="C16" s="1">
        <v>2.3550124511719002</v>
      </c>
    </row>
    <row r="17" spans="1:3" x14ac:dyDescent="0.3">
      <c r="A17">
        <v>495</v>
      </c>
      <c r="B17">
        <f t="shared" si="0"/>
        <v>7476</v>
      </c>
      <c r="C17" s="1">
        <v>2.5225664062500002</v>
      </c>
    </row>
    <row r="18" spans="1:3" x14ac:dyDescent="0.3">
      <c r="A18">
        <v>496</v>
      </c>
      <c r="B18">
        <f t="shared" si="0"/>
        <v>7972</v>
      </c>
      <c r="C18" s="1">
        <v>2.68705883378906</v>
      </c>
    </row>
    <row r="19" spans="1:3" x14ac:dyDescent="0.3">
      <c r="B19">
        <f>4977+2563+996</f>
        <v>8536</v>
      </c>
      <c r="C19" s="1">
        <v>2.8758662109375002</v>
      </c>
    </row>
    <row r="20" spans="1:3" x14ac:dyDescent="0.3">
      <c r="A20">
        <v>515</v>
      </c>
      <c r="B20">
        <f t="shared" si="0"/>
        <v>9051</v>
      </c>
      <c r="C20" s="1">
        <v>3.0477867652344002</v>
      </c>
    </row>
    <row r="21" spans="1:3" x14ac:dyDescent="0.3">
      <c r="A21">
        <v>494</v>
      </c>
      <c r="B21">
        <f t="shared" si="0"/>
        <v>9545</v>
      </c>
      <c r="C21" s="1">
        <v>3.2158564453124998</v>
      </c>
    </row>
    <row r="22" spans="1:3" x14ac:dyDescent="0.3">
      <c r="A22">
        <v>492</v>
      </c>
      <c r="B22">
        <f t="shared" si="0"/>
        <v>10037</v>
      </c>
      <c r="C22" s="1">
        <v>3.2991943359375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3CD7-735A-48FB-8355-D9919CBB192A}">
  <dimension ref="A1:C22"/>
  <sheetViews>
    <sheetView workbookViewId="0">
      <selection activeCell="N14" sqref="N14"/>
    </sheetView>
  </sheetViews>
  <sheetFormatPr defaultRowHeight="14.4" x14ac:dyDescent="0.3"/>
  <cols>
    <col min="3" max="3" width="25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B2">
        <v>0</v>
      </c>
      <c r="C2" s="2">
        <v>3.7149169921875003E-2</v>
      </c>
    </row>
    <row r="3" spans="1:3" x14ac:dyDescent="0.3">
      <c r="A3">
        <v>496</v>
      </c>
      <c r="B3">
        <v>489</v>
      </c>
      <c r="C3" s="2">
        <v>0.16215600585938</v>
      </c>
    </row>
    <row r="4" spans="1:3" x14ac:dyDescent="0.3">
      <c r="A4">
        <v>515</v>
      </c>
      <c r="B4">
        <v>985</v>
      </c>
      <c r="C4" s="2">
        <v>0.32984692382811998</v>
      </c>
    </row>
    <row r="5" spans="1:3" x14ac:dyDescent="0.3">
      <c r="A5">
        <v>495</v>
      </c>
      <c r="B5">
        <v>1500</v>
      </c>
      <c r="C5" s="2">
        <v>0.50529638671874999</v>
      </c>
    </row>
    <row r="6" spans="1:3" x14ac:dyDescent="0.3">
      <c r="B6">
        <v>1995</v>
      </c>
      <c r="C6" s="2">
        <v>0.67258447265624999</v>
      </c>
    </row>
    <row r="7" spans="1:3" x14ac:dyDescent="0.3">
      <c r="A7">
        <v>493</v>
      </c>
      <c r="B7">
        <v>2560</v>
      </c>
      <c r="C7" s="2">
        <v>0.86115820312500002</v>
      </c>
    </row>
    <row r="8" spans="1:3" x14ac:dyDescent="0.3">
      <c r="A8">
        <v>496</v>
      </c>
      <c r="B8">
        <v>3053</v>
      </c>
      <c r="C8" s="2">
        <v>1.0303557128906</v>
      </c>
    </row>
    <row r="9" spans="1:3" x14ac:dyDescent="0.3">
      <c r="A9">
        <v>515</v>
      </c>
      <c r="B9">
        <v>3549</v>
      </c>
      <c r="C9" s="2">
        <v>1.1973698730469</v>
      </c>
    </row>
    <row r="10" spans="1:3" x14ac:dyDescent="0.3">
      <c r="A10">
        <v>495</v>
      </c>
      <c r="B10">
        <v>4064</v>
      </c>
      <c r="C10" s="2">
        <v>1.3720861816406</v>
      </c>
    </row>
    <row r="11" spans="1:3" x14ac:dyDescent="0.3">
      <c r="B11">
        <v>4559</v>
      </c>
      <c r="C11" s="2">
        <v>1.5390922851561999</v>
      </c>
    </row>
    <row r="12" spans="1:3" x14ac:dyDescent="0.3">
      <c r="A12">
        <v>496</v>
      </c>
      <c r="B12">
        <v>4971</v>
      </c>
      <c r="C12" s="2">
        <v>1.6834270019530999</v>
      </c>
    </row>
    <row r="13" spans="1:3" x14ac:dyDescent="0.3">
      <c r="A13">
        <v>492</v>
      </c>
      <c r="B13">
        <v>5467</v>
      </c>
      <c r="C13" s="2">
        <v>1.8478630371094</v>
      </c>
    </row>
    <row r="14" spans="1:3" x14ac:dyDescent="0.3">
      <c r="A14">
        <v>495</v>
      </c>
      <c r="B14">
        <v>5959</v>
      </c>
      <c r="C14" s="2">
        <v>2.0177211914062001</v>
      </c>
    </row>
    <row r="15" spans="1:3" x14ac:dyDescent="0.3">
      <c r="A15">
        <v>514</v>
      </c>
      <c r="B15">
        <v>6454</v>
      </c>
      <c r="C15" s="2">
        <v>2.1857666015624999</v>
      </c>
    </row>
    <row r="16" spans="1:3" x14ac:dyDescent="0.3">
      <c r="B16">
        <v>6968</v>
      </c>
      <c r="C16" s="2">
        <v>2.3611435546875001</v>
      </c>
    </row>
    <row r="17" spans="1:3" x14ac:dyDescent="0.3">
      <c r="A17">
        <v>496</v>
      </c>
      <c r="B17">
        <v>7544</v>
      </c>
      <c r="C17" s="2">
        <v>2.5548896484374999</v>
      </c>
    </row>
    <row r="18" spans="1:3" x14ac:dyDescent="0.3">
      <c r="A18">
        <v>495</v>
      </c>
      <c r="B18">
        <v>8040</v>
      </c>
      <c r="C18" s="2">
        <v>2.7156276855469001</v>
      </c>
    </row>
    <row r="19" spans="1:3" x14ac:dyDescent="0.3">
      <c r="A19">
        <v>494</v>
      </c>
      <c r="B19">
        <v>8535</v>
      </c>
      <c r="C19" s="2">
        <v>2.8830607910156001</v>
      </c>
    </row>
    <row r="20" spans="1:3" x14ac:dyDescent="0.3">
      <c r="A20">
        <v>515</v>
      </c>
      <c r="B20">
        <v>9029</v>
      </c>
      <c r="C20" s="2">
        <v>3.0533378906249999</v>
      </c>
    </row>
    <row r="21" spans="1:3" x14ac:dyDescent="0.3">
      <c r="A21">
        <v>493</v>
      </c>
      <c r="B21">
        <v>9544</v>
      </c>
      <c r="C21" s="2">
        <v>3.2234619140624998</v>
      </c>
    </row>
    <row r="22" spans="1:3" x14ac:dyDescent="0.3">
      <c r="B22">
        <v>10037</v>
      </c>
      <c r="C22" s="2">
        <v>3.2991943359375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525A-3DD3-49B1-806E-7CDB278A3375}">
  <dimension ref="A1:C22"/>
  <sheetViews>
    <sheetView workbookViewId="0">
      <selection activeCell="C28" sqref="C28:C29"/>
    </sheetView>
  </sheetViews>
  <sheetFormatPr defaultRowHeight="14.4" x14ac:dyDescent="0.3"/>
  <cols>
    <col min="1" max="1" width="11" customWidth="1"/>
    <col min="2" max="2" width="11.796875" customWidth="1"/>
    <col min="3" max="3" width="13.8984375" customWidth="1"/>
  </cols>
  <sheetData>
    <row r="1" spans="1:3" x14ac:dyDescent="0.3">
      <c r="A1" t="s">
        <v>2</v>
      </c>
      <c r="B1" t="s">
        <v>3</v>
      </c>
      <c r="C1" t="s">
        <v>0</v>
      </c>
    </row>
    <row r="2" spans="1:3" x14ac:dyDescent="0.3">
      <c r="B2">
        <v>0</v>
      </c>
      <c r="C2">
        <v>3.6406180000000003E-2</v>
      </c>
    </row>
    <row r="3" spans="1:3" x14ac:dyDescent="0.3">
      <c r="A3">
        <v>501</v>
      </c>
      <c r="B3">
        <v>509</v>
      </c>
      <c r="C3">
        <v>0.16539912000000001</v>
      </c>
    </row>
    <row r="4" spans="1:3" x14ac:dyDescent="0.3">
      <c r="A4">
        <v>510</v>
      </c>
      <c r="B4">
        <v>1005</v>
      </c>
      <c r="C4">
        <v>0.31995150999999999</v>
      </c>
    </row>
    <row r="5" spans="1:3" x14ac:dyDescent="0.3">
      <c r="A5">
        <v>510</v>
      </c>
      <c r="B5">
        <v>1470</v>
      </c>
      <c r="C5">
        <v>0.53056119999999996</v>
      </c>
    </row>
    <row r="6" spans="1:3" x14ac:dyDescent="0.3">
      <c r="B6">
        <v>2015</v>
      </c>
      <c r="C6">
        <v>0.67258446999999999</v>
      </c>
    </row>
    <row r="7" spans="1:3" x14ac:dyDescent="0.3">
      <c r="A7">
        <v>478</v>
      </c>
      <c r="B7">
        <v>2637</v>
      </c>
      <c r="C7">
        <v>0.84393503000000003</v>
      </c>
    </row>
    <row r="8" spans="1:3" x14ac:dyDescent="0.3">
      <c r="A8">
        <v>521</v>
      </c>
      <c r="B8">
        <v>3022</v>
      </c>
      <c r="C8">
        <v>1.0715701399999999</v>
      </c>
    </row>
    <row r="9" spans="1:3" x14ac:dyDescent="0.3">
      <c r="A9">
        <v>515</v>
      </c>
      <c r="B9">
        <v>3584</v>
      </c>
      <c r="C9">
        <v>1.16144877</v>
      </c>
    </row>
    <row r="10" spans="1:3" x14ac:dyDescent="0.3">
      <c r="A10">
        <v>505</v>
      </c>
      <c r="B10">
        <v>3942</v>
      </c>
      <c r="C10">
        <v>1.4132487600000001</v>
      </c>
    </row>
    <row r="11" spans="1:3" x14ac:dyDescent="0.3">
      <c r="B11">
        <v>4741</v>
      </c>
      <c r="C11">
        <v>1.52370136</v>
      </c>
    </row>
    <row r="12" spans="1:3" x14ac:dyDescent="0.3">
      <c r="A12">
        <v>486</v>
      </c>
      <c r="B12">
        <v>5220</v>
      </c>
      <c r="C12">
        <v>1.7002612699999999</v>
      </c>
    </row>
    <row r="13" spans="1:3" x14ac:dyDescent="0.3">
      <c r="A13">
        <v>507</v>
      </c>
      <c r="B13">
        <v>5358</v>
      </c>
      <c r="C13">
        <v>1.9217775500000001</v>
      </c>
    </row>
    <row r="14" spans="1:3" x14ac:dyDescent="0.3">
      <c r="A14">
        <v>480</v>
      </c>
      <c r="B14">
        <v>6078</v>
      </c>
      <c r="C14">
        <v>2.0177211900000001</v>
      </c>
    </row>
    <row r="15" spans="1:3" x14ac:dyDescent="0.3">
      <c r="A15">
        <v>519</v>
      </c>
      <c r="B15">
        <v>6454</v>
      </c>
      <c r="C15">
        <v>2.1420512600000001</v>
      </c>
    </row>
    <row r="16" spans="1:3" x14ac:dyDescent="0.3">
      <c r="B16">
        <v>7177</v>
      </c>
      <c r="C16">
        <v>2.4792007300000001</v>
      </c>
    </row>
    <row r="17" spans="1:3" x14ac:dyDescent="0.3">
      <c r="A17">
        <v>516</v>
      </c>
      <c r="B17">
        <v>7318</v>
      </c>
      <c r="C17">
        <v>2.5804385399999998</v>
      </c>
    </row>
    <row r="18" spans="1:3" x14ac:dyDescent="0.3">
      <c r="A18">
        <v>490</v>
      </c>
      <c r="B18">
        <v>8120</v>
      </c>
      <c r="C18">
        <v>2.7970965099999998</v>
      </c>
    </row>
    <row r="19" spans="1:3" x14ac:dyDescent="0.3">
      <c r="A19">
        <v>519</v>
      </c>
      <c r="B19">
        <v>8876</v>
      </c>
      <c r="C19">
        <v>2.7965689600000001</v>
      </c>
    </row>
    <row r="20" spans="1:3" x14ac:dyDescent="0.3">
      <c r="A20">
        <v>515</v>
      </c>
      <c r="B20">
        <v>8848</v>
      </c>
      <c r="C20">
        <v>3.1144046400000001</v>
      </c>
    </row>
    <row r="21" spans="1:3" x14ac:dyDescent="0.3">
      <c r="A21">
        <v>503</v>
      </c>
      <c r="B21">
        <v>10021</v>
      </c>
      <c r="C21">
        <v>3.19122729</v>
      </c>
    </row>
    <row r="22" spans="1:3" x14ac:dyDescent="0.3">
      <c r="B22">
        <v>9736</v>
      </c>
      <c r="C22">
        <v>3.4311621099999998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ED75-C9CC-4A20-A4C1-35F75268EAE3}">
  <dimension ref="A1:C22"/>
  <sheetViews>
    <sheetView workbookViewId="0">
      <selection activeCell="C9" sqref="C9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0</v>
      </c>
    </row>
    <row r="2" spans="1:3" x14ac:dyDescent="0.3">
      <c r="B2">
        <v>0</v>
      </c>
      <c r="C2">
        <v>3.8635129999999997E-2</v>
      </c>
    </row>
    <row r="3" spans="1:3" x14ac:dyDescent="0.3">
      <c r="A3">
        <v>516</v>
      </c>
      <c r="B3">
        <v>474</v>
      </c>
      <c r="C3">
        <v>0.16377755999999999</v>
      </c>
    </row>
    <row r="4" spans="1:3" x14ac:dyDescent="0.3">
      <c r="A4">
        <v>505</v>
      </c>
      <c r="B4">
        <v>1024</v>
      </c>
      <c r="C4">
        <v>0.32984691999999999</v>
      </c>
    </row>
    <row r="5" spans="1:3" x14ac:dyDescent="0.3">
      <c r="A5">
        <v>505</v>
      </c>
      <c r="B5">
        <v>1515</v>
      </c>
      <c r="C5">
        <v>0.49013749000000001</v>
      </c>
    </row>
    <row r="6" spans="1:3" x14ac:dyDescent="0.3">
      <c r="B6">
        <v>1975</v>
      </c>
      <c r="C6">
        <v>0.69948785000000002</v>
      </c>
    </row>
    <row r="7" spans="1:3" x14ac:dyDescent="0.3">
      <c r="A7">
        <v>498</v>
      </c>
      <c r="B7">
        <v>2688</v>
      </c>
      <c r="C7">
        <v>0.88699293999999995</v>
      </c>
    </row>
    <row r="8" spans="1:3" x14ac:dyDescent="0.3">
      <c r="A8">
        <v>496</v>
      </c>
      <c r="B8">
        <v>2992</v>
      </c>
      <c r="C8">
        <v>1.0199520399999999</v>
      </c>
    </row>
    <row r="9" spans="1:3" x14ac:dyDescent="0.3">
      <c r="A9">
        <v>541</v>
      </c>
      <c r="B9">
        <v>3443</v>
      </c>
      <c r="C9">
        <v>1.2213172699999999</v>
      </c>
    </row>
    <row r="10" spans="1:3" x14ac:dyDescent="0.3">
      <c r="A10">
        <v>480</v>
      </c>
      <c r="B10">
        <v>4186</v>
      </c>
      <c r="C10">
        <v>1.3446444500000001</v>
      </c>
    </row>
    <row r="11" spans="1:3" x14ac:dyDescent="0.3">
      <c r="B11">
        <v>4559</v>
      </c>
      <c r="C11">
        <v>1.61604689</v>
      </c>
    </row>
    <row r="12" spans="1:3" x14ac:dyDescent="0.3">
      <c r="A12">
        <v>516</v>
      </c>
      <c r="B12">
        <v>4921</v>
      </c>
      <c r="C12">
        <v>1.63292419</v>
      </c>
    </row>
    <row r="13" spans="1:3" x14ac:dyDescent="0.3">
      <c r="A13">
        <v>487</v>
      </c>
      <c r="B13">
        <v>5686</v>
      </c>
      <c r="C13">
        <v>1.86634166</v>
      </c>
    </row>
    <row r="14" spans="1:3" x14ac:dyDescent="0.3">
      <c r="A14">
        <v>500</v>
      </c>
      <c r="B14">
        <v>5840</v>
      </c>
      <c r="C14">
        <v>2.0782528199999999</v>
      </c>
    </row>
    <row r="15" spans="1:3" x14ac:dyDescent="0.3">
      <c r="A15">
        <v>529</v>
      </c>
      <c r="B15">
        <v>6777</v>
      </c>
      <c r="C15">
        <v>2.1857666</v>
      </c>
    </row>
    <row r="16" spans="1:3" x14ac:dyDescent="0.3">
      <c r="B16">
        <v>6759</v>
      </c>
      <c r="C16">
        <v>2.4083664200000001</v>
      </c>
    </row>
    <row r="17" spans="1:3" x14ac:dyDescent="0.3">
      <c r="A17">
        <v>486</v>
      </c>
      <c r="B17">
        <v>7695</v>
      </c>
      <c r="C17">
        <v>2.6826341299999998</v>
      </c>
    </row>
    <row r="18" spans="1:3" x14ac:dyDescent="0.3">
      <c r="A18">
        <v>520</v>
      </c>
      <c r="B18">
        <v>8040</v>
      </c>
      <c r="C18">
        <v>2.6884714000000001</v>
      </c>
    </row>
    <row r="19" spans="1:3" x14ac:dyDescent="0.3">
      <c r="A19">
        <v>494</v>
      </c>
      <c r="B19">
        <v>8279</v>
      </c>
      <c r="C19">
        <v>2.99838322</v>
      </c>
    </row>
    <row r="20" spans="1:3" x14ac:dyDescent="0.3">
      <c r="A20">
        <v>530</v>
      </c>
      <c r="B20">
        <v>9119</v>
      </c>
      <c r="C20">
        <v>2.9922711299999998</v>
      </c>
    </row>
    <row r="21" spans="1:3" x14ac:dyDescent="0.3">
      <c r="A21">
        <v>478</v>
      </c>
      <c r="B21">
        <v>9449</v>
      </c>
      <c r="C21">
        <v>3.3846349999999998</v>
      </c>
    </row>
    <row r="22" spans="1:3" x14ac:dyDescent="0.3">
      <c r="B22">
        <v>10238</v>
      </c>
      <c r="C22">
        <v>3.3321862699999998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CDF8-FBE6-4A9D-B523-D994F233541F}">
  <dimension ref="A1:C22"/>
  <sheetViews>
    <sheetView workbookViewId="0">
      <selection activeCell="F25" sqref="F25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0</v>
      </c>
    </row>
    <row r="2" spans="1:3" x14ac:dyDescent="0.3">
      <c r="B2">
        <v>0</v>
      </c>
      <c r="C2">
        <v>3.7892149999999999E-2</v>
      </c>
    </row>
    <row r="3" spans="1:3" x14ac:dyDescent="0.3">
      <c r="A3">
        <v>486</v>
      </c>
      <c r="B3">
        <v>494</v>
      </c>
      <c r="C3">
        <v>0.16053444</v>
      </c>
    </row>
    <row r="4" spans="1:3" x14ac:dyDescent="0.3">
      <c r="A4">
        <v>530</v>
      </c>
      <c r="B4">
        <v>955</v>
      </c>
      <c r="C4">
        <v>0.34304079999999998</v>
      </c>
    </row>
    <row r="5" spans="1:3" x14ac:dyDescent="0.3">
      <c r="A5">
        <v>500</v>
      </c>
      <c r="B5">
        <v>1530</v>
      </c>
      <c r="C5">
        <v>0.49519045</v>
      </c>
    </row>
    <row r="6" spans="1:3" x14ac:dyDescent="0.3">
      <c r="B6">
        <v>1995</v>
      </c>
      <c r="C6">
        <v>0.69276199999999999</v>
      </c>
    </row>
    <row r="7" spans="1:3" x14ac:dyDescent="0.3">
      <c r="A7">
        <v>513</v>
      </c>
      <c r="B7">
        <v>2534</v>
      </c>
      <c r="C7">
        <v>0.86976978000000005</v>
      </c>
    </row>
    <row r="8" spans="1:3" x14ac:dyDescent="0.3">
      <c r="A8">
        <v>481</v>
      </c>
      <c r="B8">
        <v>3206</v>
      </c>
      <c r="C8">
        <v>1.03035571</v>
      </c>
    </row>
    <row r="9" spans="1:3" x14ac:dyDescent="0.3">
      <c r="A9">
        <v>525</v>
      </c>
      <c r="B9">
        <v>3478</v>
      </c>
      <c r="C9">
        <v>1.2332909599999999</v>
      </c>
    </row>
    <row r="10" spans="1:3" x14ac:dyDescent="0.3">
      <c r="A10">
        <v>490</v>
      </c>
      <c r="B10">
        <v>4227</v>
      </c>
      <c r="C10">
        <v>1.38580704</v>
      </c>
    </row>
    <row r="11" spans="1:3" x14ac:dyDescent="0.3">
      <c r="B11">
        <v>4605</v>
      </c>
      <c r="C11">
        <v>1.4929195099999999</v>
      </c>
    </row>
    <row r="12" spans="1:3" x14ac:dyDescent="0.3">
      <c r="A12">
        <v>511</v>
      </c>
      <c r="B12">
        <v>4971</v>
      </c>
      <c r="C12">
        <v>1.7170955400000001</v>
      </c>
    </row>
    <row r="13" spans="1:3" x14ac:dyDescent="0.3">
      <c r="A13">
        <v>482</v>
      </c>
      <c r="B13">
        <v>5576</v>
      </c>
      <c r="C13">
        <v>1.8293843999999999</v>
      </c>
    </row>
    <row r="14" spans="1:3" x14ac:dyDescent="0.3">
      <c r="A14">
        <v>515</v>
      </c>
      <c r="B14">
        <v>5780</v>
      </c>
      <c r="C14">
        <v>2.1186072500000002</v>
      </c>
    </row>
    <row r="15" spans="1:3" x14ac:dyDescent="0.3">
      <c r="A15">
        <v>514</v>
      </c>
      <c r="B15">
        <v>6519</v>
      </c>
      <c r="C15">
        <v>2.2513395900000002</v>
      </c>
    </row>
    <row r="16" spans="1:3" x14ac:dyDescent="0.3">
      <c r="B16">
        <v>7316</v>
      </c>
      <c r="C16">
        <v>2.3139206799999998</v>
      </c>
    </row>
    <row r="17" spans="1:3" x14ac:dyDescent="0.3">
      <c r="A17">
        <v>501</v>
      </c>
      <c r="B17">
        <v>7469</v>
      </c>
      <c r="C17">
        <v>2.6570852299999999</v>
      </c>
    </row>
    <row r="18" spans="1:3" x14ac:dyDescent="0.3">
      <c r="A18">
        <v>480</v>
      </c>
      <c r="B18">
        <v>8281</v>
      </c>
      <c r="C18">
        <v>2.7156276799999999</v>
      </c>
    </row>
    <row r="19" spans="1:3" x14ac:dyDescent="0.3">
      <c r="A19">
        <v>504</v>
      </c>
      <c r="B19">
        <v>8364</v>
      </c>
      <c r="C19">
        <v>2.9118913900000001</v>
      </c>
    </row>
    <row r="20" spans="1:3" x14ac:dyDescent="0.3">
      <c r="A20">
        <v>510</v>
      </c>
      <c r="B20">
        <v>9390</v>
      </c>
      <c r="C20">
        <v>2.9617377500000002</v>
      </c>
    </row>
    <row r="21" spans="1:3" x14ac:dyDescent="0.3">
      <c r="A21">
        <v>518</v>
      </c>
      <c r="B21">
        <v>9639</v>
      </c>
      <c r="C21">
        <v>3.2879311499999999</v>
      </c>
    </row>
    <row r="22" spans="1:3" x14ac:dyDescent="0.3">
      <c r="B22">
        <v>10037</v>
      </c>
      <c r="C22">
        <v>3.3981701599999998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2FA3-F002-47E3-A51F-D6795D9CC27A}">
  <dimension ref="A1:V90"/>
  <sheetViews>
    <sheetView topLeftCell="B45" zoomScale="55" zoomScaleNormal="55" workbookViewId="0">
      <selection activeCell="Q80" sqref="Q80"/>
    </sheetView>
  </sheetViews>
  <sheetFormatPr defaultColWidth="11.296875" defaultRowHeight="14.4" x14ac:dyDescent="0.3"/>
  <sheetData>
    <row r="1" spans="1:22" x14ac:dyDescent="0.3">
      <c r="A1" t="s">
        <v>2</v>
      </c>
      <c r="B1" t="s">
        <v>1</v>
      </c>
      <c r="C1" t="s">
        <v>0</v>
      </c>
      <c r="E1" t="s">
        <v>2</v>
      </c>
      <c r="F1" t="s">
        <v>1</v>
      </c>
      <c r="G1" t="s">
        <v>0</v>
      </c>
      <c r="I1" t="s">
        <v>2</v>
      </c>
      <c r="J1" t="s">
        <v>3</v>
      </c>
      <c r="K1" t="s">
        <v>0</v>
      </c>
      <c r="M1" t="s">
        <v>2</v>
      </c>
      <c r="N1" t="s">
        <v>3</v>
      </c>
      <c r="O1" t="s">
        <v>0</v>
      </c>
      <c r="Q1" t="s">
        <v>2</v>
      </c>
      <c r="R1" t="s">
        <v>3</v>
      </c>
      <c r="S1" t="s">
        <v>0</v>
      </c>
      <c r="U1" t="s">
        <v>8</v>
      </c>
      <c r="V1" t="s">
        <v>9</v>
      </c>
    </row>
    <row r="2" spans="1:22" x14ac:dyDescent="0.3">
      <c r="A2">
        <v>0</v>
      </c>
      <c r="B2">
        <v>0</v>
      </c>
      <c r="C2" s="1">
        <v>3.6883300781250003E-2</v>
      </c>
      <c r="F2">
        <v>0</v>
      </c>
      <c r="G2" s="2">
        <v>3.7149169921875003E-2</v>
      </c>
      <c r="J2">
        <v>0</v>
      </c>
      <c r="K2">
        <v>3.6406180000000003E-2</v>
      </c>
      <c r="N2">
        <v>0</v>
      </c>
      <c r="O2">
        <v>3.8635129999999997E-2</v>
      </c>
      <c r="R2">
        <v>0</v>
      </c>
      <c r="S2">
        <v>3.7892149999999999E-2</v>
      </c>
      <c r="U2">
        <f>AVERAGE(B2,F2,J2,N2,R2)</f>
        <v>0</v>
      </c>
      <c r="V2" s="2">
        <f>AVERAGE(G2,C2,K2,O2,S2)</f>
        <v>3.7393186140625E-2</v>
      </c>
    </row>
    <row r="3" spans="1:22" x14ac:dyDescent="0.3">
      <c r="A3">
        <v>514</v>
      </c>
      <c r="B3">
        <f>B2+A3</f>
        <v>514</v>
      </c>
      <c r="C3" s="1">
        <v>0.16944726562500001</v>
      </c>
      <c r="E3">
        <v>496</v>
      </c>
      <c r="F3">
        <v>489</v>
      </c>
      <c r="G3" s="2">
        <v>0.16215600585938</v>
      </c>
      <c r="I3">
        <v>501</v>
      </c>
      <c r="J3">
        <v>509</v>
      </c>
      <c r="K3">
        <v>0.16539912000000001</v>
      </c>
      <c r="M3">
        <v>516</v>
      </c>
      <c r="N3">
        <v>474</v>
      </c>
      <c r="O3">
        <v>0.16377755999999999</v>
      </c>
      <c r="Q3">
        <v>486</v>
      </c>
      <c r="R3">
        <v>494</v>
      </c>
      <c r="S3">
        <v>0.16053444</v>
      </c>
      <c r="U3">
        <f t="shared" ref="U3:U22" si="0">AVERAGE(B3,F3,J3,N3,R3)</f>
        <v>496</v>
      </c>
      <c r="V3" s="2">
        <f t="shared" ref="V3:V22" si="1">AVERAGE(G3,C3,K3,O3,S3)</f>
        <v>0.16426287829687597</v>
      </c>
    </row>
    <row r="4" spans="1:22" x14ac:dyDescent="0.3">
      <c r="A4">
        <v>494</v>
      </c>
      <c r="B4">
        <f>B3+A4</f>
        <v>1008</v>
      </c>
      <c r="C4" s="1">
        <v>0.33652587890625002</v>
      </c>
      <c r="E4">
        <v>515</v>
      </c>
      <c r="F4">
        <v>985</v>
      </c>
      <c r="G4" s="2">
        <v>0.32984692382811998</v>
      </c>
      <c r="I4">
        <v>510</v>
      </c>
      <c r="J4">
        <v>1005</v>
      </c>
      <c r="K4">
        <v>0.31995150999999999</v>
      </c>
      <c r="M4">
        <v>505</v>
      </c>
      <c r="N4">
        <v>1024</v>
      </c>
      <c r="O4">
        <v>0.32984691999999999</v>
      </c>
      <c r="Q4">
        <v>530</v>
      </c>
      <c r="R4">
        <v>955</v>
      </c>
      <c r="S4">
        <v>0.34304079999999998</v>
      </c>
      <c r="U4">
        <f t="shared" si="0"/>
        <v>995.4</v>
      </c>
      <c r="V4" s="2">
        <f t="shared" si="1"/>
        <v>0.33184240654687402</v>
      </c>
    </row>
    <row r="5" spans="1:22" x14ac:dyDescent="0.3">
      <c r="A5">
        <v>497</v>
      </c>
      <c r="B5">
        <f t="shared" ref="B5:B22" si="2">B4+A5</f>
        <v>1505</v>
      </c>
      <c r="C5" s="1">
        <v>0.50429736328124997</v>
      </c>
      <c r="E5">
        <v>495</v>
      </c>
      <c r="F5">
        <v>1500</v>
      </c>
      <c r="G5" s="2">
        <v>0.50529638671874999</v>
      </c>
      <c r="I5">
        <v>510</v>
      </c>
      <c r="J5">
        <v>1470</v>
      </c>
      <c r="K5">
        <v>0.53056119999999996</v>
      </c>
      <c r="M5">
        <v>505</v>
      </c>
      <c r="N5">
        <v>1515</v>
      </c>
      <c r="O5">
        <v>0.49013749000000001</v>
      </c>
      <c r="Q5">
        <v>500</v>
      </c>
      <c r="R5">
        <v>1530</v>
      </c>
      <c r="S5">
        <v>0.49519045</v>
      </c>
      <c r="U5">
        <f t="shared" si="0"/>
        <v>1504</v>
      </c>
      <c r="V5" s="2">
        <f t="shared" si="1"/>
        <v>0.50509657800000007</v>
      </c>
    </row>
    <row r="6" spans="1:22" x14ac:dyDescent="0.3">
      <c r="A6">
        <v>496</v>
      </c>
      <c r="B6">
        <f t="shared" si="2"/>
        <v>2001</v>
      </c>
      <c r="C6" s="1">
        <v>0.67157739257811999</v>
      </c>
      <c r="F6">
        <v>1995</v>
      </c>
      <c r="G6" s="2">
        <v>0.67258447265624999</v>
      </c>
      <c r="J6">
        <v>2015</v>
      </c>
      <c r="K6">
        <v>0.67258446999999999</v>
      </c>
      <c r="N6">
        <v>1975</v>
      </c>
      <c r="O6">
        <v>0.69948785000000002</v>
      </c>
      <c r="R6">
        <v>1995</v>
      </c>
      <c r="S6">
        <v>0.69276199999999999</v>
      </c>
      <c r="U6">
        <f t="shared" si="0"/>
        <v>1996.2</v>
      </c>
      <c r="V6" s="2">
        <f t="shared" si="1"/>
        <v>0.68179923704687406</v>
      </c>
    </row>
    <row r="7" spans="1:22" x14ac:dyDescent="0.3">
      <c r="A7">
        <v>493</v>
      </c>
      <c r="B7">
        <f t="shared" si="2"/>
        <v>2494</v>
      </c>
      <c r="C7" s="1">
        <v>0.83870434570313002</v>
      </c>
      <c r="E7">
        <v>493</v>
      </c>
      <c r="F7">
        <v>2560</v>
      </c>
      <c r="G7" s="2">
        <v>0.86115820312500002</v>
      </c>
      <c r="I7">
        <v>478</v>
      </c>
      <c r="J7">
        <v>2637</v>
      </c>
      <c r="K7">
        <v>0.84393503000000003</v>
      </c>
      <c r="M7">
        <v>498</v>
      </c>
      <c r="N7">
        <v>2688</v>
      </c>
      <c r="O7">
        <v>0.88699293999999995</v>
      </c>
      <c r="Q7">
        <v>513</v>
      </c>
      <c r="R7">
        <v>2534</v>
      </c>
      <c r="S7">
        <v>0.86976978000000005</v>
      </c>
      <c r="U7">
        <f t="shared" si="0"/>
        <v>2582.6</v>
      </c>
      <c r="V7" s="2">
        <f t="shared" si="1"/>
        <v>0.86011205976562599</v>
      </c>
    </row>
    <row r="8" spans="1:22" x14ac:dyDescent="0.3">
      <c r="A8">
        <v>510</v>
      </c>
      <c r="B8">
        <f t="shared" si="2"/>
        <v>3004</v>
      </c>
      <c r="C8" s="1">
        <v>1.0104719238280999</v>
      </c>
      <c r="E8">
        <v>496</v>
      </c>
      <c r="F8">
        <v>3053</v>
      </c>
      <c r="G8" s="2">
        <v>1.0303557128906</v>
      </c>
      <c r="I8">
        <v>521</v>
      </c>
      <c r="J8">
        <v>3022</v>
      </c>
      <c r="K8">
        <v>1.0715701399999999</v>
      </c>
      <c r="M8">
        <v>496</v>
      </c>
      <c r="N8">
        <v>2992</v>
      </c>
      <c r="O8">
        <v>1.0199520399999999</v>
      </c>
      <c r="Q8">
        <v>481</v>
      </c>
      <c r="R8">
        <v>3206</v>
      </c>
      <c r="S8">
        <v>1.03035571</v>
      </c>
      <c r="U8">
        <f t="shared" si="0"/>
        <v>3055.4</v>
      </c>
      <c r="V8" s="2">
        <f t="shared" si="1"/>
        <v>1.0325411053437401</v>
      </c>
    </row>
    <row r="9" spans="1:22" x14ac:dyDescent="0.3">
      <c r="B9">
        <f>2562+1009</f>
        <v>3571</v>
      </c>
      <c r="C9" s="1">
        <v>1.1963547363281</v>
      </c>
      <c r="E9">
        <v>515</v>
      </c>
      <c r="F9">
        <v>3549</v>
      </c>
      <c r="G9" s="2">
        <v>1.1973698730469</v>
      </c>
      <c r="I9">
        <v>515</v>
      </c>
      <c r="J9">
        <v>3584</v>
      </c>
      <c r="K9">
        <v>1.16144877</v>
      </c>
      <c r="M9">
        <v>541</v>
      </c>
      <c r="N9">
        <v>3443</v>
      </c>
      <c r="O9">
        <v>1.2213172699999999</v>
      </c>
      <c r="Q9">
        <v>525</v>
      </c>
      <c r="R9">
        <v>3478</v>
      </c>
      <c r="S9">
        <v>1.2332909599999999</v>
      </c>
      <c r="U9">
        <f t="shared" si="0"/>
        <v>3525</v>
      </c>
      <c r="V9" s="2">
        <f t="shared" si="1"/>
        <v>1.201956321875</v>
      </c>
    </row>
    <row r="10" spans="1:22" x14ac:dyDescent="0.3">
      <c r="A10">
        <v>509</v>
      </c>
      <c r="B10">
        <f t="shared" si="2"/>
        <v>4080</v>
      </c>
      <c r="C10" s="1">
        <v>1.3708776855469</v>
      </c>
      <c r="E10">
        <v>495</v>
      </c>
      <c r="F10">
        <v>4064</v>
      </c>
      <c r="G10" s="2">
        <v>1.3720861816406</v>
      </c>
      <c r="I10">
        <v>505</v>
      </c>
      <c r="J10">
        <v>3942</v>
      </c>
      <c r="K10">
        <v>1.4132487600000001</v>
      </c>
      <c r="M10">
        <v>480</v>
      </c>
      <c r="N10">
        <v>4186</v>
      </c>
      <c r="O10">
        <v>1.3446444500000001</v>
      </c>
      <c r="Q10">
        <v>490</v>
      </c>
      <c r="R10">
        <v>4227</v>
      </c>
      <c r="S10">
        <v>1.38580704</v>
      </c>
      <c r="U10">
        <f t="shared" si="0"/>
        <v>4099.8</v>
      </c>
      <c r="V10" s="2">
        <f t="shared" si="1"/>
        <v>1.3773328234375</v>
      </c>
    </row>
    <row r="11" spans="1:22" x14ac:dyDescent="0.3">
      <c r="A11">
        <v>493</v>
      </c>
      <c r="B11">
        <f t="shared" si="2"/>
        <v>4573</v>
      </c>
      <c r="C11" s="1">
        <v>1.5357568359375</v>
      </c>
      <c r="F11">
        <v>4559</v>
      </c>
      <c r="G11" s="2">
        <v>1.5390922851561999</v>
      </c>
      <c r="J11">
        <v>4741</v>
      </c>
      <c r="K11">
        <v>1.52370136</v>
      </c>
      <c r="N11">
        <v>4559</v>
      </c>
      <c r="O11">
        <v>1.61604689</v>
      </c>
      <c r="R11">
        <v>4605</v>
      </c>
      <c r="S11">
        <v>1.4929195099999999</v>
      </c>
      <c r="U11">
        <f t="shared" si="0"/>
        <v>4607.3999999999996</v>
      </c>
      <c r="V11" s="2">
        <f t="shared" si="1"/>
        <v>1.5415033762187398</v>
      </c>
    </row>
    <row r="12" spans="1:22" x14ac:dyDescent="0.3">
      <c r="A12">
        <v>496</v>
      </c>
      <c r="B12">
        <f t="shared" si="2"/>
        <v>5069</v>
      </c>
      <c r="C12" s="1">
        <v>1.70272265625</v>
      </c>
      <c r="E12">
        <v>496</v>
      </c>
      <c r="F12">
        <v>4971</v>
      </c>
      <c r="G12" s="2">
        <v>1.6834270019530999</v>
      </c>
      <c r="I12">
        <v>486</v>
      </c>
      <c r="J12">
        <v>5220</v>
      </c>
      <c r="K12">
        <v>1.7002612699999999</v>
      </c>
      <c r="M12">
        <v>516</v>
      </c>
      <c r="N12">
        <v>4921</v>
      </c>
      <c r="O12">
        <v>1.63292419</v>
      </c>
      <c r="Q12">
        <v>511</v>
      </c>
      <c r="R12">
        <v>4971</v>
      </c>
      <c r="S12">
        <v>1.7170955400000001</v>
      </c>
      <c r="U12">
        <f t="shared" si="0"/>
        <v>5030.3999999999996</v>
      </c>
      <c r="V12" s="2">
        <f t="shared" si="1"/>
        <v>1.6872861316406198</v>
      </c>
    </row>
    <row r="13" spans="1:22" x14ac:dyDescent="0.3">
      <c r="A13">
        <v>497</v>
      </c>
      <c r="B13">
        <f t="shared" si="2"/>
        <v>5566</v>
      </c>
      <c r="C13" s="1">
        <v>1.8707600097656001</v>
      </c>
      <c r="E13">
        <v>492</v>
      </c>
      <c r="F13">
        <v>5467</v>
      </c>
      <c r="G13" s="2">
        <v>1.8478630371094</v>
      </c>
      <c r="I13">
        <v>507</v>
      </c>
      <c r="J13">
        <v>5358</v>
      </c>
      <c r="K13">
        <v>1.9217775500000001</v>
      </c>
      <c r="M13">
        <v>487</v>
      </c>
      <c r="N13">
        <v>5686</v>
      </c>
      <c r="O13">
        <v>1.86634166</v>
      </c>
      <c r="Q13">
        <v>482</v>
      </c>
      <c r="R13">
        <v>5576</v>
      </c>
      <c r="S13">
        <v>1.8293843999999999</v>
      </c>
      <c r="U13">
        <f t="shared" si="0"/>
        <v>5530.6</v>
      </c>
      <c r="V13" s="2">
        <f t="shared" si="1"/>
        <v>1.8672253313749998</v>
      </c>
    </row>
    <row r="14" spans="1:22" x14ac:dyDescent="0.3">
      <c r="B14">
        <f>5971</f>
        <v>5971</v>
      </c>
      <c r="C14" s="1">
        <v>2.0153525390625</v>
      </c>
      <c r="E14">
        <v>495</v>
      </c>
      <c r="F14">
        <v>5959</v>
      </c>
      <c r="G14" s="2">
        <v>2.0177211914062001</v>
      </c>
      <c r="I14">
        <v>480</v>
      </c>
      <c r="J14">
        <v>6078</v>
      </c>
      <c r="K14">
        <v>2.0177211900000001</v>
      </c>
      <c r="M14">
        <v>500</v>
      </c>
      <c r="N14">
        <v>5840</v>
      </c>
      <c r="O14">
        <v>2.0782528199999999</v>
      </c>
      <c r="Q14">
        <v>515</v>
      </c>
      <c r="R14">
        <v>5780</v>
      </c>
      <c r="S14">
        <v>2.1186072500000002</v>
      </c>
      <c r="U14">
        <f t="shared" si="0"/>
        <v>5925.6</v>
      </c>
      <c r="V14" s="2">
        <f t="shared" si="1"/>
        <v>2.04953099809374</v>
      </c>
    </row>
    <row r="15" spans="1:22" x14ac:dyDescent="0.3">
      <c r="A15">
        <v>495</v>
      </c>
      <c r="B15">
        <f t="shared" si="2"/>
        <v>6466</v>
      </c>
      <c r="C15" s="1">
        <v>2.1740200195311998</v>
      </c>
      <c r="E15">
        <v>514</v>
      </c>
      <c r="F15">
        <v>6454</v>
      </c>
      <c r="G15" s="2">
        <v>2.1857666015624999</v>
      </c>
      <c r="I15">
        <v>519</v>
      </c>
      <c r="J15">
        <v>6454</v>
      </c>
      <c r="K15">
        <v>2.1420512600000001</v>
      </c>
      <c r="M15">
        <v>529</v>
      </c>
      <c r="N15">
        <v>6777</v>
      </c>
      <c r="O15">
        <v>2.1857666</v>
      </c>
      <c r="Q15">
        <v>514</v>
      </c>
      <c r="R15">
        <v>6519</v>
      </c>
      <c r="S15">
        <v>2.2513395900000002</v>
      </c>
      <c r="U15">
        <f t="shared" si="0"/>
        <v>6534</v>
      </c>
      <c r="V15" s="2">
        <f t="shared" si="1"/>
        <v>2.1877888142187403</v>
      </c>
    </row>
    <row r="16" spans="1:22" x14ac:dyDescent="0.3">
      <c r="A16">
        <v>515</v>
      </c>
      <c r="B16">
        <f t="shared" si="2"/>
        <v>6981</v>
      </c>
      <c r="C16" s="1">
        <v>2.3550124511719002</v>
      </c>
      <c r="F16">
        <v>6968</v>
      </c>
      <c r="G16" s="2">
        <v>2.3611435546875001</v>
      </c>
      <c r="J16">
        <v>7177</v>
      </c>
      <c r="K16">
        <v>2.4792007300000001</v>
      </c>
      <c r="N16">
        <v>6759</v>
      </c>
      <c r="O16">
        <v>2.4083664200000001</v>
      </c>
      <c r="R16">
        <v>7316</v>
      </c>
      <c r="S16">
        <v>2.3139206799999998</v>
      </c>
      <c r="U16">
        <f t="shared" si="0"/>
        <v>7040.2</v>
      </c>
      <c r="V16" s="2">
        <f t="shared" si="1"/>
        <v>2.3835287671718803</v>
      </c>
    </row>
    <row r="17" spans="1:22" x14ac:dyDescent="0.3">
      <c r="A17">
        <v>495</v>
      </c>
      <c r="B17">
        <f t="shared" si="2"/>
        <v>7476</v>
      </c>
      <c r="C17" s="1">
        <v>2.5225664062500002</v>
      </c>
      <c r="E17">
        <v>496</v>
      </c>
      <c r="F17">
        <v>7544</v>
      </c>
      <c r="G17" s="2">
        <v>2.5548896484374999</v>
      </c>
      <c r="I17">
        <v>516</v>
      </c>
      <c r="J17">
        <v>7318</v>
      </c>
      <c r="K17">
        <v>2.5804385399999998</v>
      </c>
      <c r="M17">
        <v>486</v>
      </c>
      <c r="N17">
        <v>7695</v>
      </c>
      <c r="O17">
        <v>2.6826341299999998</v>
      </c>
      <c r="Q17">
        <v>501</v>
      </c>
      <c r="R17">
        <v>7469</v>
      </c>
      <c r="S17">
        <v>2.6570852299999999</v>
      </c>
      <c r="U17">
        <f t="shared" si="0"/>
        <v>7500.4</v>
      </c>
      <c r="V17" s="2">
        <f t="shared" si="1"/>
        <v>2.5995227909374998</v>
      </c>
    </row>
    <row r="18" spans="1:22" x14ac:dyDescent="0.3">
      <c r="A18">
        <v>496</v>
      </c>
      <c r="B18">
        <f t="shared" si="2"/>
        <v>7972</v>
      </c>
      <c r="C18" s="1">
        <v>2.68705883378906</v>
      </c>
      <c r="E18">
        <v>495</v>
      </c>
      <c r="F18">
        <v>8040</v>
      </c>
      <c r="G18" s="2">
        <v>2.7156276855469001</v>
      </c>
      <c r="I18">
        <v>490</v>
      </c>
      <c r="J18">
        <v>8120</v>
      </c>
      <c r="K18">
        <v>2.7970965099999998</v>
      </c>
      <c r="M18">
        <v>520</v>
      </c>
      <c r="N18">
        <v>8040</v>
      </c>
      <c r="O18">
        <v>2.6884714000000001</v>
      </c>
      <c r="Q18">
        <v>480</v>
      </c>
      <c r="R18">
        <v>8281</v>
      </c>
      <c r="S18">
        <v>2.7156276799999999</v>
      </c>
      <c r="U18">
        <f t="shared" si="0"/>
        <v>8090.6</v>
      </c>
      <c r="V18" s="2">
        <f t="shared" si="1"/>
        <v>2.7207764218671917</v>
      </c>
    </row>
    <row r="19" spans="1:22" x14ac:dyDescent="0.3">
      <c r="B19">
        <f>4977+2563+996</f>
        <v>8536</v>
      </c>
      <c r="C19" s="1">
        <v>2.8758662109375002</v>
      </c>
      <c r="E19">
        <v>494</v>
      </c>
      <c r="F19">
        <v>8535</v>
      </c>
      <c r="G19" s="2">
        <v>2.8830607910156001</v>
      </c>
      <c r="I19">
        <v>519</v>
      </c>
      <c r="J19">
        <v>8876</v>
      </c>
      <c r="K19">
        <v>2.7965689600000001</v>
      </c>
      <c r="M19">
        <v>494</v>
      </c>
      <c r="N19">
        <v>8279</v>
      </c>
      <c r="O19">
        <v>2.99838322</v>
      </c>
      <c r="Q19">
        <v>504</v>
      </c>
      <c r="R19">
        <v>8364</v>
      </c>
      <c r="S19">
        <v>2.9118913900000001</v>
      </c>
      <c r="U19">
        <f t="shared" si="0"/>
        <v>8518</v>
      </c>
      <c r="V19" s="2">
        <f t="shared" si="1"/>
        <v>2.8931541143906201</v>
      </c>
    </row>
    <row r="20" spans="1:22" x14ac:dyDescent="0.3">
      <c r="A20">
        <v>515</v>
      </c>
      <c r="B20">
        <f t="shared" si="2"/>
        <v>9051</v>
      </c>
      <c r="C20" s="1">
        <v>3.0477867652344002</v>
      </c>
      <c r="E20">
        <v>515</v>
      </c>
      <c r="F20">
        <v>9029</v>
      </c>
      <c r="G20" s="2">
        <v>3.0533378906249999</v>
      </c>
      <c r="I20">
        <v>515</v>
      </c>
      <c r="J20">
        <v>8848</v>
      </c>
      <c r="K20">
        <v>3.1144046400000001</v>
      </c>
      <c r="M20">
        <v>530</v>
      </c>
      <c r="N20">
        <v>9119</v>
      </c>
      <c r="O20">
        <v>2.9922711299999998</v>
      </c>
      <c r="Q20">
        <v>510</v>
      </c>
      <c r="R20">
        <v>9390</v>
      </c>
      <c r="S20">
        <v>2.9617377500000002</v>
      </c>
      <c r="U20">
        <f t="shared" si="0"/>
        <v>9087.4</v>
      </c>
      <c r="V20" s="2">
        <f t="shared" si="1"/>
        <v>3.0339076351718801</v>
      </c>
    </row>
    <row r="21" spans="1:22" x14ac:dyDescent="0.3">
      <c r="A21">
        <v>494</v>
      </c>
      <c r="B21">
        <f t="shared" si="2"/>
        <v>9545</v>
      </c>
      <c r="C21" s="1">
        <v>3.2158564453124998</v>
      </c>
      <c r="E21">
        <v>493</v>
      </c>
      <c r="F21">
        <v>9544</v>
      </c>
      <c r="G21" s="2">
        <v>3.2234619140624998</v>
      </c>
      <c r="I21">
        <v>503</v>
      </c>
      <c r="J21">
        <v>10021</v>
      </c>
      <c r="K21">
        <v>3.19122729</v>
      </c>
      <c r="M21">
        <v>478</v>
      </c>
      <c r="N21">
        <v>9449</v>
      </c>
      <c r="O21">
        <v>3.3846349999999998</v>
      </c>
      <c r="Q21">
        <v>518</v>
      </c>
      <c r="R21">
        <v>9639</v>
      </c>
      <c r="S21">
        <v>3.2879311499999999</v>
      </c>
      <c r="U21">
        <f t="shared" si="0"/>
        <v>9639.6</v>
      </c>
      <c r="V21" s="2">
        <f t="shared" si="1"/>
        <v>3.2606223598749997</v>
      </c>
    </row>
    <row r="22" spans="1:22" x14ac:dyDescent="0.3">
      <c r="A22">
        <v>492</v>
      </c>
      <c r="B22">
        <f t="shared" si="2"/>
        <v>10037</v>
      </c>
      <c r="C22" s="1">
        <v>3.2991943359375</v>
      </c>
      <c r="F22">
        <v>10037</v>
      </c>
      <c r="G22" s="2">
        <v>3.2991943359375</v>
      </c>
      <c r="J22">
        <v>9736</v>
      </c>
      <c r="K22">
        <v>3.4311621099999998</v>
      </c>
      <c r="N22">
        <v>10238</v>
      </c>
      <c r="O22">
        <v>3.3321862699999998</v>
      </c>
      <c r="R22">
        <v>10037</v>
      </c>
      <c r="S22">
        <v>3.3981701599999998</v>
      </c>
      <c r="U22">
        <f t="shared" si="0"/>
        <v>10017</v>
      </c>
      <c r="V22" s="2">
        <f t="shared" si="1"/>
        <v>3.3519814423750001</v>
      </c>
    </row>
    <row r="23" spans="1:22" x14ac:dyDescent="0.3">
      <c r="D23" s="4" t="s">
        <v>10</v>
      </c>
      <c r="E23" s="4"/>
      <c r="F23" s="4" t="s">
        <v>11</v>
      </c>
      <c r="G23" s="4"/>
      <c r="H23" s="4" t="s">
        <v>12</v>
      </c>
      <c r="I23" s="4"/>
      <c r="K23" s="4" t="s">
        <v>13</v>
      </c>
      <c r="L23" s="4"/>
      <c r="M23" s="4" t="s">
        <v>14</v>
      </c>
      <c r="N23" s="4"/>
      <c r="O23" s="4" t="s">
        <v>15</v>
      </c>
      <c r="P23" s="4"/>
    </row>
    <row r="24" spans="1:22" x14ac:dyDescent="0.3">
      <c r="D24" s="3" t="s">
        <v>1</v>
      </c>
      <c r="E24" s="3" t="s">
        <v>0</v>
      </c>
      <c r="F24" s="3" t="s">
        <v>1</v>
      </c>
      <c r="G24" s="3" t="s">
        <v>0</v>
      </c>
      <c r="H24" s="3" t="s">
        <v>3</v>
      </c>
      <c r="I24" s="3" t="s">
        <v>0</v>
      </c>
      <c r="K24" s="3" t="s">
        <v>3</v>
      </c>
      <c r="L24" s="3" t="s">
        <v>0</v>
      </c>
      <c r="M24" s="3" t="s">
        <v>3</v>
      </c>
      <c r="N24" s="3" t="s">
        <v>0</v>
      </c>
      <c r="O24" s="3" t="s">
        <v>8</v>
      </c>
      <c r="P24" s="3" t="s">
        <v>9</v>
      </c>
    </row>
    <row r="25" spans="1:22" x14ac:dyDescent="0.3">
      <c r="D25" s="3">
        <v>0</v>
      </c>
      <c r="E25" s="5">
        <v>3.6883300781250003E-2</v>
      </c>
      <c r="F25" s="3">
        <v>0</v>
      </c>
      <c r="G25" s="5">
        <v>3.7149169921875003E-2</v>
      </c>
      <c r="H25" s="3">
        <v>0</v>
      </c>
      <c r="I25" s="5">
        <v>3.6406180000000003E-2</v>
      </c>
      <c r="K25" s="3">
        <v>0</v>
      </c>
      <c r="L25" s="5">
        <v>3.8635129999999997E-2</v>
      </c>
      <c r="M25" s="3">
        <v>0</v>
      </c>
      <c r="N25" s="5">
        <v>3.7892149999999999E-2</v>
      </c>
      <c r="O25" s="3">
        <v>0</v>
      </c>
      <c r="P25" s="5">
        <v>3.7393186140625E-2</v>
      </c>
    </row>
    <row r="26" spans="1:22" x14ac:dyDescent="0.3">
      <c r="D26" s="3">
        <v>514</v>
      </c>
      <c r="E26" s="5">
        <v>0.16944726562500001</v>
      </c>
      <c r="F26" s="3">
        <v>489</v>
      </c>
      <c r="G26" s="5">
        <v>0.16215600585938</v>
      </c>
      <c r="H26" s="3">
        <v>509</v>
      </c>
      <c r="I26" s="5">
        <v>0.16539912000000001</v>
      </c>
      <c r="K26" s="3">
        <v>474</v>
      </c>
      <c r="L26" s="5">
        <v>0.16377755999999999</v>
      </c>
      <c r="M26" s="3">
        <v>494</v>
      </c>
      <c r="N26" s="5">
        <v>0.16053444</v>
      </c>
      <c r="O26" s="3">
        <v>496</v>
      </c>
      <c r="P26" s="5">
        <v>0.16426287829687597</v>
      </c>
    </row>
    <row r="27" spans="1:22" x14ac:dyDescent="0.3">
      <c r="D27" s="3">
        <v>1008</v>
      </c>
      <c r="E27" s="5">
        <v>0.33652587890625002</v>
      </c>
      <c r="F27" s="3">
        <v>985</v>
      </c>
      <c r="G27" s="5">
        <v>0.32984692382811998</v>
      </c>
      <c r="H27" s="3">
        <v>1005</v>
      </c>
      <c r="I27" s="5">
        <v>0.31995150999999999</v>
      </c>
      <c r="K27" s="3">
        <v>1024</v>
      </c>
      <c r="L27" s="5">
        <v>0.32984691999999999</v>
      </c>
      <c r="M27" s="3">
        <v>955</v>
      </c>
      <c r="N27" s="5">
        <v>0.34304079999999998</v>
      </c>
      <c r="O27" s="3">
        <v>995.4</v>
      </c>
      <c r="P27" s="5">
        <v>0.33184240654687402</v>
      </c>
    </row>
    <row r="28" spans="1:22" x14ac:dyDescent="0.3">
      <c r="D28" s="3">
        <v>1505</v>
      </c>
      <c r="E28" s="5">
        <v>0.50429736328124997</v>
      </c>
      <c r="F28" s="3">
        <v>1500</v>
      </c>
      <c r="G28" s="5">
        <v>0.50529638671874999</v>
      </c>
      <c r="H28" s="3">
        <v>1470</v>
      </c>
      <c r="I28" s="5">
        <v>0.53056119999999996</v>
      </c>
      <c r="K28" s="3">
        <v>1515</v>
      </c>
      <c r="L28" s="5">
        <v>0.49013749000000001</v>
      </c>
      <c r="M28" s="3">
        <v>1530</v>
      </c>
      <c r="N28" s="5">
        <v>0.49519045</v>
      </c>
      <c r="O28" s="3">
        <v>1504</v>
      </c>
      <c r="P28" s="5">
        <v>0.50509657800000007</v>
      </c>
    </row>
    <row r="29" spans="1:22" x14ac:dyDescent="0.3">
      <c r="D29" s="3">
        <v>2001</v>
      </c>
      <c r="E29" s="5">
        <v>0.67157739257811999</v>
      </c>
      <c r="F29" s="3">
        <v>1995</v>
      </c>
      <c r="G29" s="5">
        <v>0.67258447265624999</v>
      </c>
      <c r="H29" s="3">
        <v>2015</v>
      </c>
      <c r="I29" s="5">
        <v>0.67258446999999999</v>
      </c>
      <c r="K29" s="3">
        <v>1975</v>
      </c>
      <c r="L29" s="5">
        <v>0.69948785000000002</v>
      </c>
      <c r="M29" s="3">
        <v>1995</v>
      </c>
      <c r="N29" s="5">
        <v>0.69276199999999999</v>
      </c>
      <c r="O29" s="3">
        <v>1996.2</v>
      </c>
      <c r="P29" s="5">
        <v>0.68179923704687406</v>
      </c>
    </row>
    <row r="30" spans="1:22" x14ac:dyDescent="0.3">
      <c r="D30" s="3">
        <v>2494</v>
      </c>
      <c r="E30" s="5">
        <v>0.83870434570313002</v>
      </c>
      <c r="F30" s="3">
        <v>2560</v>
      </c>
      <c r="G30" s="5">
        <v>0.86115820312500002</v>
      </c>
      <c r="H30" s="3">
        <v>2637</v>
      </c>
      <c r="I30" s="5">
        <v>0.84393503000000003</v>
      </c>
      <c r="K30" s="3">
        <v>2688</v>
      </c>
      <c r="L30" s="5">
        <v>0.88699293999999995</v>
      </c>
      <c r="M30" s="3">
        <v>2534</v>
      </c>
      <c r="N30" s="5">
        <v>0.86976978000000005</v>
      </c>
      <c r="O30" s="3">
        <v>2582.6</v>
      </c>
      <c r="P30" s="5">
        <v>0.86011205976562599</v>
      </c>
    </row>
    <row r="31" spans="1:22" x14ac:dyDescent="0.3">
      <c r="D31" s="3">
        <v>3004</v>
      </c>
      <c r="E31" s="5">
        <v>1.0104719238280999</v>
      </c>
      <c r="F31" s="3">
        <v>3053</v>
      </c>
      <c r="G31" s="5">
        <v>1.0303557128906</v>
      </c>
      <c r="H31" s="3">
        <v>3022</v>
      </c>
      <c r="I31" s="5">
        <v>1.0715701399999999</v>
      </c>
      <c r="K31" s="3">
        <v>2992</v>
      </c>
      <c r="L31" s="5">
        <v>1.0199520399999999</v>
      </c>
      <c r="M31" s="3">
        <v>3206</v>
      </c>
      <c r="N31" s="5">
        <v>1.03035571</v>
      </c>
      <c r="O31" s="3">
        <v>3055.4</v>
      </c>
      <c r="P31" s="5">
        <v>1.0325411053437401</v>
      </c>
    </row>
    <row r="32" spans="1:22" x14ac:dyDescent="0.3">
      <c r="D32" s="3">
        <v>3571</v>
      </c>
      <c r="E32" s="5">
        <v>1.1963547363281</v>
      </c>
      <c r="F32" s="3">
        <v>3549</v>
      </c>
      <c r="G32" s="5">
        <v>1.1973698730469</v>
      </c>
      <c r="H32" s="3">
        <v>3584</v>
      </c>
      <c r="I32" s="5">
        <v>1.16144877</v>
      </c>
      <c r="K32" s="3">
        <v>3443</v>
      </c>
      <c r="L32" s="5">
        <v>1.2213172699999999</v>
      </c>
      <c r="M32" s="3">
        <v>3478</v>
      </c>
      <c r="N32" s="5">
        <v>1.2332909599999999</v>
      </c>
      <c r="O32" s="3">
        <v>3525</v>
      </c>
      <c r="P32" s="5">
        <v>1.201956321875</v>
      </c>
    </row>
    <row r="33" spans="4:16" x14ac:dyDescent="0.3">
      <c r="D33" s="3">
        <v>4080</v>
      </c>
      <c r="E33" s="5">
        <v>1.3708776855469</v>
      </c>
      <c r="F33" s="3">
        <v>4064</v>
      </c>
      <c r="G33" s="5">
        <v>1.3720861816406</v>
      </c>
      <c r="H33" s="3">
        <v>3942</v>
      </c>
      <c r="I33" s="5">
        <v>1.4132487600000001</v>
      </c>
      <c r="K33" s="3">
        <v>4186</v>
      </c>
      <c r="L33" s="5">
        <v>1.3446444500000001</v>
      </c>
      <c r="M33" s="3">
        <v>4227</v>
      </c>
      <c r="N33" s="5">
        <v>1.38580704</v>
      </c>
      <c r="O33" s="3">
        <v>4099.8</v>
      </c>
      <c r="P33" s="5">
        <v>1.3773328234375</v>
      </c>
    </row>
    <row r="34" spans="4:16" x14ac:dyDescent="0.3">
      <c r="D34" s="3">
        <v>4573</v>
      </c>
      <c r="E34" s="5">
        <v>1.5357568359375</v>
      </c>
      <c r="F34" s="3">
        <v>4559</v>
      </c>
      <c r="G34" s="5">
        <v>1.5390922851561999</v>
      </c>
      <c r="H34" s="3">
        <v>4741</v>
      </c>
      <c r="I34" s="5">
        <v>1.52370136</v>
      </c>
      <c r="K34" s="3">
        <v>4559</v>
      </c>
      <c r="L34" s="5">
        <v>1.61604689</v>
      </c>
      <c r="M34" s="3">
        <v>4605</v>
      </c>
      <c r="N34" s="5">
        <v>1.4929195099999999</v>
      </c>
      <c r="O34" s="3">
        <v>4607.3999999999996</v>
      </c>
      <c r="P34" s="5">
        <v>1.5415033762187398</v>
      </c>
    </row>
    <row r="35" spans="4:16" x14ac:dyDescent="0.3">
      <c r="D35" s="3">
        <v>5069</v>
      </c>
      <c r="E35" s="5">
        <v>1.70272265625</v>
      </c>
      <c r="F35" s="3">
        <v>4971</v>
      </c>
      <c r="G35" s="5">
        <v>1.6834270019530999</v>
      </c>
      <c r="H35" s="3">
        <v>5220</v>
      </c>
      <c r="I35" s="5">
        <v>1.7002612699999999</v>
      </c>
      <c r="K35" s="3">
        <v>4921</v>
      </c>
      <c r="L35" s="5">
        <v>1.63292419</v>
      </c>
      <c r="M35" s="3">
        <v>4971</v>
      </c>
      <c r="N35" s="5">
        <v>1.7170955400000001</v>
      </c>
      <c r="O35" s="3">
        <v>5030.3999999999996</v>
      </c>
      <c r="P35" s="5">
        <v>1.6872861316406198</v>
      </c>
    </row>
    <row r="36" spans="4:16" x14ac:dyDescent="0.3">
      <c r="D36" s="3">
        <v>5566</v>
      </c>
      <c r="E36" s="5">
        <v>1.8707600097656001</v>
      </c>
      <c r="F36" s="3">
        <v>5467</v>
      </c>
      <c r="G36" s="5">
        <v>1.8478630371094</v>
      </c>
      <c r="H36" s="3">
        <v>5358</v>
      </c>
      <c r="I36" s="5">
        <v>1.9217775500000001</v>
      </c>
      <c r="K36" s="3">
        <v>5686</v>
      </c>
      <c r="L36" s="5">
        <v>1.86634166</v>
      </c>
      <c r="M36" s="3">
        <v>5576</v>
      </c>
      <c r="N36" s="5">
        <v>1.8293843999999999</v>
      </c>
      <c r="O36" s="3">
        <v>5530.6</v>
      </c>
      <c r="P36" s="5">
        <v>1.8672253313749998</v>
      </c>
    </row>
    <row r="37" spans="4:16" x14ac:dyDescent="0.3">
      <c r="D37" s="3">
        <v>5971</v>
      </c>
      <c r="E37" s="5">
        <v>2.0153525390625</v>
      </c>
      <c r="F37" s="3">
        <v>5959</v>
      </c>
      <c r="G37" s="5">
        <v>2.0177211914062001</v>
      </c>
      <c r="H37" s="3">
        <v>6078</v>
      </c>
      <c r="I37" s="5">
        <v>2.0177211900000001</v>
      </c>
      <c r="K37" s="3">
        <v>5840</v>
      </c>
      <c r="L37" s="5">
        <v>2.0782528199999999</v>
      </c>
      <c r="M37" s="3">
        <v>5780</v>
      </c>
      <c r="N37" s="5">
        <v>2.1186072500000002</v>
      </c>
      <c r="O37" s="3">
        <v>5925.6</v>
      </c>
      <c r="P37" s="5">
        <v>2.04953099809374</v>
      </c>
    </row>
    <row r="38" spans="4:16" x14ac:dyDescent="0.3">
      <c r="D38" s="3">
        <v>6466</v>
      </c>
      <c r="E38" s="5">
        <v>2.1740200195311998</v>
      </c>
      <c r="F38" s="3">
        <v>6454</v>
      </c>
      <c r="G38" s="5">
        <v>2.1857666015624999</v>
      </c>
      <c r="H38" s="3">
        <v>6454</v>
      </c>
      <c r="I38" s="5">
        <v>2.1420512600000001</v>
      </c>
      <c r="K38" s="3">
        <v>6777</v>
      </c>
      <c r="L38" s="5">
        <v>2.1857666</v>
      </c>
      <c r="M38" s="3">
        <v>6519</v>
      </c>
      <c r="N38" s="5">
        <v>2.2513395900000002</v>
      </c>
      <c r="O38" s="3">
        <v>6534</v>
      </c>
      <c r="P38" s="5">
        <v>2.1877888142187403</v>
      </c>
    </row>
    <row r="39" spans="4:16" x14ac:dyDescent="0.3">
      <c r="D39" s="3">
        <v>6981</v>
      </c>
      <c r="E39" s="5">
        <v>2.3550124511719002</v>
      </c>
      <c r="F39" s="3">
        <v>6968</v>
      </c>
      <c r="G39" s="5">
        <v>2.3611435546875001</v>
      </c>
      <c r="H39" s="3">
        <v>7177</v>
      </c>
      <c r="I39" s="5">
        <v>2.4792007300000001</v>
      </c>
      <c r="K39" s="3">
        <v>6759</v>
      </c>
      <c r="L39" s="5">
        <v>2.4083664200000001</v>
      </c>
      <c r="M39" s="3">
        <v>7316</v>
      </c>
      <c r="N39" s="5">
        <v>2.3139206799999998</v>
      </c>
      <c r="O39" s="3">
        <v>7040.2</v>
      </c>
      <c r="P39" s="5">
        <v>2.3835287671718803</v>
      </c>
    </row>
    <row r="40" spans="4:16" x14ac:dyDescent="0.3">
      <c r="D40" s="3">
        <v>7476</v>
      </c>
      <c r="E40" s="5">
        <v>2.5225664062500002</v>
      </c>
      <c r="F40" s="3">
        <v>7544</v>
      </c>
      <c r="G40" s="5">
        <v>2.5548896484374999</v>
      </c>
      <c r="H40" s="3">
        <v>7318</v>
      </c>
      <c r="I40" s="5">
        <v>2.5804385399999998</v>
      </c>
      <c r="K40" s="3">
        <v>7695</v>
      </c>
      <c r="L40" s="5">
        <v>2.6826341299999998</v>
      </c>
      <c r="M40" s="3">
        <v>7469</v>
      </c>
      <c r="N40" s="5">
        <v>2.6570852299999999</v>
      </c>
      <c r="O40" s="3">
        <v>7500.4</v>
      </c>
      <c r="P40" s="5">
        <v>2.5995227909374998</v>
      </c>
    </row>
    <row r="41" spans="4:16" x14ac:dyDescent="0.3">
      <c r="D41" s="3">
        <v>7972</v>
      </c>
      <c r="E41" s="5">
        <v>2.68705883378906</v>
      </c>
      <c r="F41" s="3">
        <v>8040</v>
      </c>
      <c r="G41" s="5">
        <v>2.7156276855469001</v>
      </c>
      <c r="H41" s="3">
        <v>8120</v>
      </c>
      <c r="I41" s="5">
        <v>2.7970965099999998</v>
      </c>
      <c r="K41" s="3">
        <v>8040</v>
      </c>
      <c r="L41" s="5">
        <v>2.6884714000000001</v>
      </c>
      <c r="M41" s="3">
        <v>8281</v>
      </c>
      <c r="N41" s="5">
        <v>2.7156276799999999</v>
      </c>
      <c r="O41" s="3">
        <v>8090.6</v>
      </c>
      <c r="P41" s="5">
        <v>2.7207764218671917</v>
      </c>
    </row>
    <row r="42" spans="4:16" x14ac:dyDescent="0.3">
      <c r="D42" s="3">
        <v>8536</v>
      </c>
      <c r="E42" s="5">
        <v>2.8758662109375002</v>
      </c>
      <c r="F42" s="3">
        <v>8535</v>
      </c>
      <c r="G42" s="5">
        <v>2.8830607910156001</v>
      </c>
      <c r="H42" s="3">
        <v>8876</v>
      </c>
      <c r="I42" s="5">
        <v>2.7965689600000001</v>
      </c>
      <c r="K42" s="3">
        <v>8279</v>
      </c>
      <c r="L42" s="5">
        <v>2.99838322</v>
      </c>
      <c r="M42" s="3">
        <v>8364</v>
      </c>
      <c r="N42" s="5">
        <v>2.9118913900000001</v>
      </c>
      <c r="O42" s="3">
        <v>8518</v>
      </c>
      <c r="P42" s="5">
        <v>2.8931541143906201</v>
      </c>
    </row>
    <row r="43" spans="4:16" x14ac:dyDescent="0.3">
      <c r="D43" s="3">
        <v>9051</v>
      </c>
      <c r="E43" s="5">
        <v>3.0477867652344002</v>
      </c>
      <c r="F43" s="3">
        <v>9029</v>
      </c>
      <c r="G43" s="5">
        <v>3.0533378906249999</v>
      </c>
      <c r="H43" s="3">
        <v>8848</v>
      </c>
      <c r="I43" s="5">
        <v>3.1144046400000001</v>
      </c>
      <c r="K43" s="3">
        <v>9119</v>
      </c>
      <c r="L43" s="5">
        <v>2.9922711299999998</v>
      </c>
      <c r="M43" s="3">
        <v>9390</v>
      </c>
      <c r="N43" s="5">
        <v>2.9617377500000002</v>
      </c>
      <c r="O43" s="3">
        <v>9087.4</v>
      </c>
      <c r="P43" s="5">
        <v>3.0339076351718801</v>
      </c>
    </row>
    <row r="44" spans="4:16" x14ac:dyDescent="0.3">
      <c r="D44" s="3">
        <v>9545</v>
      </c>
      <c r="E44" s="5">
        <v>3.2158564453124998</v>
      </c>
      <c r="F44" s="3">
        <v>9544</v>
      </c>
      <c r="G44" s="5">
        <v>3.2234619140624998</v>
      </c>
      <c r="H44" s="3">
        <v>10021</v>
      </c>
      <c r="I44" s="5">
        <v>3.19122729</v>
      </c>
      <c r="K44" s="3">
        <v>9449</v>
      </c>
      <c r="L44" s="5">
        <v>3.3846349999999998</v>
      </c>
      <c r="M44" s="3">
        <v>9639</v>
      </c>
      <c r="N44" s="5">
        <v>3.2879311499999999</v>
      </c>
      <c r="O44" s="3">
        <v>9639.6</v>
      </c>
      <c r="P44" s="5">
        <v>3.2606223598749997</v>
      </c>
    </row>
    <row r="45" spans="4:16" x14ac:dyDescent="0.3">
      <c r="D45" s="3">
        <v>10037</v>
      </c>
      <c r="E45" s="5">
        <v>3.2991943359375</v>
      </c>
      <c r="F45" s="3">
        <v>10037</v>
      </c>
      <c r="G45" s="5">
        <v>3.2991943359375</v>
      </c>
      <c r="H45" s="3">
        <v>9736</v>
      </c>
      <c r="I45" s="5">
        <v>3.4311621099999998</v>
      </c>
      <c r="K45" s="3">
        <v>10238</v>
      </c>
      <c r="L45" s="5">
        <v>3.3321862699999998</v>
      </c>
      <c r="M45" s="3">
        <v>10037</v>
      </c>
      <c r="N45" s="5">
        <v>3.3981701599999998</v>
      </c>
      <c r="O45" s="3">
        <v>10017</v>
      </c>
      <c r="P45" s="5">
        <v>3.3519814423750001</v>
      </c>
    </row>
    <row r="46" spans="4:16" x14ac:dyDescent="0.3">
      <c r="D46" s="4" t="s">
        <v>10</v>
      </c>
      <c r="E46" s="4"/>
      <c r="F46" s="4" t="s">
        <v>11</v>
      </c>
      <c r="G46" s="4"/>
      <c r="H46" s="4" t="s">
        <v>12</v>
      </c>
      <c r="I46" s="4"/>
      <c r="J46" s="4" t="s">
        <v>13</v>
      </c>
      <c r="K46" s="4"/>
      <c r="L46" s="4" t="s">
        <v>14</v>
      </c>
      <c r="M46" s="4"/>
      <c r="N46" s="4" t="s">
        <v>15</v>
      </c>
      <c r="O46" s="4"/>
    </row>
    <row r="47" spans="4:16" x14ac:dyDescent="0.3">
      <c r="D47" s="3" t="s">
        <v>1</v>
      </c>
      <c r="E47" s="3" t="s">
        <v>0</v>
      </c>
      <c r="F47" s="3" t="s">
        <v>1</v>
      </c>
      <c r="G47" s="3" t="s">
        <v>0</v>
      </c>
      <c r="H47" s="3" t="s">
        <v>3</v>
      </c>
      <c r="I47" s="3" t="s">
        <v>0</v>
      </c>
      <c r="J47" s="3" t="s">
        <v>3</v>
      </c>
      <c r="K47" s="3" t="s">
        <v>0</v>
      </c>
      <c r="L47" s="3" t="s">
        <v>3</v>
      </c>
      <c r="M47" s="3" t="s">
        <v>0</v>
      </c>
      <c r="N47" s="3" t="s">
        <v>8</v>
      </c>
      <c r="O47" s="3" t="s">
        <v>9</v>
      </c>
    </row>
    <row r="48" spans="4:16" x14ac:dyDescent="0.3">
      <c r="D48" s="3">
        <v>0</v>
      </c>
      <c r="E48" s="5">
        <v>3.6883300781250003E-2</v>
      </c>
      <c r="F48" s="3">
        <v>0</v>
      </c>
      <c r="G48" s="5">
        <v>3.7149169921875003E-2</v>
      </c>
      <c r="H48" s="3">
        <v>0</v>
      </c>
      <c r="I48" s="5">
        <v>3.6406180000000003E-2</v>
      </c>
      <c r="J48" s="3">
        <v>0</v>
      </c>
      <c r="K48" s="5">
        <v>3.8635129999999997E-2</v>
      </c>
      <c r="L48" s="3">
        <v>0</v>
      </c>
      <c r="M48" s="5">
        <v>3.7892149999999999E-2</v>
      </c>
      <c r="N48" s="3">
        <v>0</v>
      </c>
      <c r="O48" s="5">
        <v>3.7393186140625E-2</v>
      </c>
    </row>
    <row r="49" spans="4:15" x14ac:dyDescent="0.3">
      <c r="D49" s="3">
        <v>514</v>
      </c>
      <c r="E49" s="5">
        <v>0.16944726562500001</v>
      </c>
      <c r="F49" s="3">
        <v>489</v>
      </c>
      <c r="G49" s="5">
        <v>0.16215600585938</v>
      </c>
      <c r="H49" s="3">
        <v>509</v>
      </c>
      <c r="I49" s="5">
        <v>0.16539912000000001</v>
      </c>
      <c r="J49" s="3">
        <v>474</v>
      </c>
      <c r="K49" s="5">
        <v>0.16377755999999999</v>
      </c>
      <c r="L49" s="3">
        <v>494</v>
      </c>
      <c r="M49" s="5">
        <v>0.16053444</v>
      </c>
      <c r="N49" s="3">
        <v>496</v>
      </c>
      <c r="O49" s="5">
        <v>0.16426287829687597</v>
      </c>
    </row>
    <row r="50" spans="4:15" x14ac:dyDescent="0.3">
      <c r="D50" s="3">
        <v>1008</v>
      </c>
      <c r="E50" s="5">
        <v>0.33652587890625002</v>
      </c>
      <c r="F50" s="3">
        <v>985</v>
      </c>
      <c r="G50" s="5">
        <v>0.32984692382811998</v>
      </c>
      <c r="H50" s="3">
        <v>1005</v>
      </c>
      <c r="I50" s="5">
        <v>0.31995150999999999</v>
      </c>
      <c r="J50" s="3">
        <v>1024</v>
      </c>
      <c r="K50" s="5">
        <v>0.32984691999999999</v>
      </c>
      <c r="L50" s="3">
        <v>955</v>
      </c>
      <c r="M50" s="5">
        <v>0.34304079999999998</v>
      </c>
      <c r="N50" s="3">
        <v>995.4</v>
      </c>
      <c r="O50" s="5">
        <v>0.33184240654687402</v>
      </c>
    </row>
    <row r="51" spans="4:15" x14ac:dyDescent="0.3">
      <c r="D51" s="3">
        <v>1505</v>
      </c>
      <c r="E51" s="5">
        <v>0.50429736328124997</v>
      </c>
      <c r="F51" s="3">
        <v>1500</v>
      </c>
      <c r="G51" s="5">
        <v>0.50529638671874999</v>
      </c>
      <c r="H51" s="3">
        <v>1470</v>
      </c>
      <c r="I51" s="5">
        <v>0.53056119999999996</v>
      </c>
      <c r="J51" s="3">
        <v>1515</v>
      </c>
      <c r="K51" s="5">
        <v>0.49013749000000001</v>
      </c>
      <c r="L51" s="3">
        <v>1530</v>
      </c>
      <c r="M51" s="5">
        <v>0.49519045</v>
      </c>
      <c r="N51" s="3">
        <v>1504</v>
      </c>
      <c r="O51" s="5">
        <v>0.50509657800000007</v>
      </c>
    </row>
    <row r="52" spans="4:15" x14ac:dyDescent="0.3">
      <c r="D52" s="3">
        <v>2001</v>
      </c>
      <c r="E52" s="5">
        <v>0.67157739257811999</v>
      </c>
      <c r="F52" s="3">
        <v>1995</v>
      </c>
      <c r="G52" s="5">
        <v>0.67258447265624999</v>
      </c>
      <c r="H52" s="3">
        <v>2015</v>
      </c>
      <c r="I52" s="5">
        <v>0.67258446999999999</v>
      </c>
      <c r="J52" s="3">
        <v>1975</v>
      </c>
      <c r="K52" s="5">
        <v>0.69948785000000002</v>
      </c>
      <c r="L52" s="3">
        <v>1995</v>
      </c>
      <c r="M52" s="5">
        <v>0.69276199999999999</v>
      </c>
      <c r="N52" s="3">
        <v>1996.2</v>
      </c>
      <c r="O52" s="5">
        <v>0.68179923704687406</v>
      </c>
    </row>
    <row r="53" spans="4:15" x14ac:dyDescent="0.3">
      <c r="D53" s="3">
        <v>2494</v>
      </c>
      <c r="E53" s="5">
        <v>0.83870434570313002</v>
      </c>
      <c r="F53" s="3">
        <v>2560</v>
      </c>
      <c r="G53" s="5">
        <v>0.86115820312500002</v>
      </c>
      <c r="H53" s="3">
        <v>2637</v>
      </c>
      <c r="I53" s="5">
        <v>0.84393503000000003</v>
      </c>
      <c r="J53" s="3">
        <v>2688</v>
      </c>
      <c r="K53" s="5">
        <v>0.88699293999999995</v>
      </c>
      <c r="L53" s="3">
        <v>2534</v>
      </c>
      <c r="M53" s="5">
        <v>0.86976978000000005</v>
      </c>
      <c r="N53" s="3">
        <v>2582.6</v>
      </c>
      <c r="O53" s="5">
        <v>0.86011205976562599</v>
      </c>
    </row>
    <row r="54" spans="4:15" x14ac:dyDescent="0.3">
      <c r="D54" s="3">
        <v>3004</v>
      </c>
      <c r="E54" s="5">
        <v>1.0104719238280999</v>
      </c>
      <c r="F54" s="3">
        <v>3053</v>
      </c>
      <c r="G54" s="5">
        <v>1.0303557128906</v>
      </c>
      <c r="H54" s="3">
        <v>3022</v>
      </c>
      <c r="I54" s="5">
        <v>1.0715701399999999</v>
      </c>
      <c r="J54" s="3">
        <v>2992</v>
      </c>
      <c r="K54" s="5">
        <v>1.0199520399999999</v>
      </c>
      <c r="L54" s="3">
        <v>3206</v>
      </c>
      <c r="M54" s="5">
        <v>1.03035571</v>
      </c>
      <c r="N54" s="3">
        <v>3055.4</v>
      </c>
      <c r="O54" s="5">
        <v>1.0325411053437401</v>
      </c>
    </row>
    <row r="55" spans="4:15" x14ac:dyDescent="0.3">
      <c r="D55" s="3">
        <v>3571</v>
      </c>
      <c r="E55" s="5">
        <v>1.1963547363281</v>
      </c>
      <c r="F55" s="3">
        <v>3549</v>
      </c>
      <c r="G55" s="5">
        <v>1.1973698730469</v>
      </c>
      <c r="H55" s="3">
        <v>3584</v>
      </c>
      <c r="I55" s="5">
        <v>1.16144877</v>
      </c>
      <c r="J55" s="3">
        <v>3443</v>
      </c>
      <c r="K55" s="5">
        <v>1.2213172699999999</v>
      </c>
      <c r="L55" s="3">
        <v>3478</v>
      </c>
      <c r="M55" s="5">
        <v>1.2332909599999999</v>
      </c>
      <c r="N55" s="3">
        <v>3525</v>
      </c>
      <c r="O55" s="5">
        <v>1.201956321875</v>
      </c>
    </row>
    <row r="56" spans="4:15" x14ac:dyDescent="0.3">
      <c r="D56" s="3">
        <v>4080</v>
      </c>
      <c r="E56" s="5">
        <v>1.3708776855469</v>
      </c>
      <c r="F56" s="3">
        <v>4064</v>
      </c>
      <c r="G56" s="5">
        <v>1.3720861816406</v>
      </c>
      <c r="H56" s="3">
        <v>3942</v>
      </c>
      <c r="I56" s="5">
        <v>1.4132487600000001</v>
      </c>
      <c r="J56" s="3">
        <v>4186</v>
      </c>
      <c r="K56" s="5">
        <v>1.3446444500000001</v>
      </c>
      <c r="L56" s="3">
        <v>4227</v>
      </c>
      <c r="M56" s="5">
        <v>1.38580704</v>
      </c>
      <c r="N56" s="3">
        <v>4099.8</v>
      </c>
      <c r="O56" s="5">
        <v>1.3773328234375</v>
      </c>
    </row>
    <row r="57" spans="4:15" x14ac:dyDescent="0.3">
      <c r="D57" s="3">
        <v>4573</v>
      </c>
      <c r="E57" s="5">
        <v>1.5357568359375</v>
      </c>
      <c r="F57" s="3">
        <v>4559</v>
      </c>
      <c r="G57" s="5">
        <v>1.5390922851561999</v>
      </c>
      <c r="H57" s="3">
        <v>4741</v>
      </c>
      <c r="I57" s="5">
        <v>1.52370136</v>
      </c>
      <c r="J57" s="3">
        <v>4559</v>
      </c>
      <c r="K57" s="5">
        <v>1.61604689</v>
      </c>
      <c r="L57" s="3">
        <v>4605</v>
      </c>
      <c r="M57" s="5">
        <v>1.4929195099999999</v>
      </c>
      <c r="N57" s="3">
        <v>4607.3999999999996</v>
      </c>
      <c r="O57" s="5">
        <v>1.5415033762187398</v>
      </c>
    </row>
    <row r="58" spans="4:15" x14ac:dyDescent="0.3">
      <c r="D58" s="3">
        <v>5069</v>
      </c>
      <c r="E58" s="5">
        <v>1.70272265625</v>
      </c>
      <c r="F58" s="3">
        <v>4971</v>
      </c>
      <c r="G58" s="5">
        <v>1.6834270019530999</v>
      </c>
      <c r="H58" s="3">
        <v>5220</v>
      </c>
      <c r="I58" s="5">
        <v>1.7002612699999999</v>
      </c>
      <c r="J58" s="3">
        <v>4921</v>
      </c>
      <c r="K58" s="5">
        <v>1.63292419</v>
      </c>
      <c r="L58" s="3">
        <v>4971</v>
      </c>
      <c r="M58" s="5">
        <v>1.7170955400000001</v>
      </c>
      <c r="N58" s="3">
        <v>5030.3999999999996</v>
      </c>
      <c r="O58" s="5">
        <v>1.6872861316406198</v>
      </c>
    </row>
    <row r="59" spans="4:15" x14ac:dyDescent="0.3">
      <c r="D59" s="3">
        <v>5566</v>
      </c>
      <c r="E59" s="5">
        <v>1.8707600097656001</v>
      </c>
      <c r="F59" s="3">
        <v>5467</v>
      </c>
      <c r="G59" s="5">
        <v>1.8478630371094</v>
      </c>
      <c r="H59" s="3">
        <v>5358</v>
      </c>
      <c r="I59" s="5">
        <v>1.9217775500000001</v>
      </c>
      <c r="J59" s="3">
        <v>5686</v>
      </c>
      <c r="K59" s="5">
        <v>1.86634166</v>
      </c>
      <c r="L59" s="3">
        <v>5576</v>
      </c>
      <c r="M59" s="5">
        <v>1.8293843999999999</v>
      </c>
      <c r="N59" s="3">
        <v>5530.6</v>
      </c>
      <c r="O59" s="5">
        <v>1.8672253313749998</v>
      </c>
    </row>
    <row r="60" spans="4:15" x14ac:dyDescent="0.3">
      <c r="D60" s="3">
        <v>5971</v>
      </c>
      <c r="E60" s="5">
        <v>2.0153525390625</v>
      </c>
      <c r="F60" s="3">
        <v>5959</v>
      </c>
      <c r="G60" s="5">
        <v>2.0177211914062001</v>
      </c>
      <c r="H60" s="3">
        <v>6078</v>
      </c>
      <c r="I60" s="5">
        <v>2.0177211900000001</v>
      </c>
      <c r="J60" s="3">
        <v>5840</v>
      </c>
      <c r="K60" s="5">
        <v>2.0782528199999999</v>
      </c>
      <c r="L60" s="3">
        <v>5780</v>
      </c>
      <c r="M60" s="5">
        <v>2.1186072500000002</v>
      </c>
      <c r="N60" s="3">
        <v>5925.6</v>
      </c>
      <c r="O60" s="5">
        <v>2.04953099809374</v>
      </c>
    </row>
    <row r="61" spans="4:15" x14ac:dyDescent="0.3">
      <c r="D61" s="3">
        <v>6466</v>
      </c>
      <c r="E61" s="5">
        <v>2.1740200195311998</v>
      </c>
      <c r="F61" s="3">
        <v>6454</v>
      </c>
      <c r="G61" s="5">
        <v>2.1857666015624999</v>
      </c>
      <c r="H61" s="3">
        <v>6454</v>
      </c>
      <c r="I61" s="5">
        <v>2.1420512600000001</v>
      </c>
      <c r="J61" s="3">
        <v>6777</v>
      </c>
      <c r="K61" s="5">
        <v>2.1857666</v>
      </c>
      <c r="L61" s="3">
        <v>6519</v>
      </c>
      <c r="M61" s="5">
        <v>2.2513395900000002</v>
      </c>
      <c r="N61" s="3">
        <v>6534</v>
      </c>
      <c r="O61" s="5">
        <v>2.1877888142187403</v>
      </c>
    </row>
    <row r="62" spans="4:15" x14ac:dyDescent="0.3">
      <c r="D62" s="3">
        <v>6981</v>
      </c>
      <c r="E62" s="5">
        <v>2.3550124511719002</v>
      </c>
      <c r="F62" s="3">
        <v>6968</v>
      </c>
      <c r="G62" s="5">
        <v>2.3611435546875001</v>
      </c>
      <c r="H62" s="3">
        <v>7177</v>
      </c>
      <c r="I62" s="5">
        <v>2.4792007300000001</v>
      </c>
      <c r="J62" s="3">
        <v>6759</v>
      </c>
      <c r="K62" s="5">
        <v>2.4083664200000001</v>
      </c>
      <c r="L62" s="3">
        <v>7316</v>
      </c>
      <c r="M62" s="5">
        <v>2.3139206799999998</v>
      </c>
      <c r="N62" s="3">
        <v>7040.2</v>
      </c>
      <c r="O62" s="5">
        <v>2.3835287671718803</v>
      </c>
    </row>
    <row r="63" spans="4:15" x14ac:dyDescent="0.3">
      <c r="D63" s="3">
        <v>7476</v>
      </c>
      <c r="E63" s="5">
        <v>2.5225664062500002</v>
      </c>
      <c r="F63" s="3">
        <v>7544</v>
      </c>
      <c r="G63" s="5">
        <v>2.5548896484374999</v>
      </c>
      <c r="H63" s="3">
        <v>7318</v>
      </c>
      <c r="I63" s="5">
        <v>2.5804385399999998</v>
      </c>
      <c r="J63" s="3">
        <v>7695</v>
      </c>
      <c r="K63" s="5">
        <v>2.6826341299999998</v>
      </c>
      <c r="L63" s="3">
        <v>7469</v>
      </c>
      <c r="M63" s="5">
        <v>2.6570852299999999</v>
      </c>
      <c r="N63" s="3">
        <v>7500.4</v>
      </c>
      <c r="O63" s="5">
        <v>2.5995227909374998</v>
      </c>
    </row>
    <row r="64" spans="4:15" x14ac:dyDescent="0.3">
      <c r="D64" s="3">
        <v>7972</v>
      </c>
      <c r="E64" s="5">
        <v>2.68705883378906</v>
      </c>
      <c r="F64" s="3">
        <v>8040</v>
      </c>
      <c r="G64" s="5">
        <v>2.7156276855469001</v>
      </c>
      <c r="H64" s="3">
        <v>8120</v>
      </c>
      <c r="I64" s="5">
        <v>2.7970965099999998</v>
      </c>
      <c r="J64" s="3">
        <v>8040</v>
      </c>
      <c r="K64" s="5">
        <v>2.6884714000000001</v>
      </c>
      <c r="L64" s="3">
        <v>8281</v>
      </c>
      <c r="M64" s="5">
        <v>2.7156276799999999</v>
      </c>
      <c r="N64" s="3">
        <v>8090.6</v>
      </c>
      <c r="O64" s="5">
        <v>2.7207764218671917</v>
      </c>
    </row>
    <row r="65" spans="4:15" x14ac:dyDescent="0.3">
      <c r="D65" s="3">
        <v>8536</v>
      </c>
      <c r="E65" s="5">
        <v>2.8758662109375002</v>
      </c>
      <c r="F65" s="3">
        <v>8535</v>
      </c>
      <c r="G65" s="5">
        <v>2.8830607910156001</v>
      </c>
      <c r="H65" s="3">
        <v>8876</v>
      </c>
      <c r="I65" s="5">
        <v>2.7965689600000001</v>
      </c>
      <c r="J65" s="3">
        <v>8279</v>
      </c>
      <c r="K65" s="5">
        <v>2.99838322</v>
      </c>
      <c r="L65" s="3">
        <v>8364</v>
      </c>
      <c r="M65" s="5">
        <v>2.9118913900000001</v>
      </c>
      <c r="N65" s="3">
        <v>8518</v>
      </c>
      <c r="O65" s="5">
        <v>2.8931541143906201</v>
      </c>
    </row>
    <row r="66" spans="4:15" x14ac:dyDescent="0.3">
      <c r="D66" s="3">
        <v>9051</v>
      </c>
      <c r="E66" s="5">
        <v>3.0477867652344002</v>
      </c>
      <c r="F66" s="3">
        <v>9029</v>
      </c>
      <c r="G66" s="5">
        <v>3.0533378906249999</v>
      </c>
      <c r="H66" s="3">
        <v>8848</v>
      </c>
      <c r="I66" s="5">
        <v>3.1144046400000001</v>
      </c>
      <c r="J66" s="3">
        <v>9119</v>
      </c>
      <c r="K66" s="5">
        <v>2.9922711299999998</v>
      </c>
      <c r="L66" s="3">
        <v>9390</v>
      </c>
      <c r="M66" s="5">
        <v>2.9617377500000002</v>
      </c>
      <c r="N66" s="3">
        <v>9087.4</v>
      </c>
      <c r="O66" s="5">
        <v>3.0339076351718801</v>
      </c>
    </row>
    <row r="67" spans="4:15" x14ac:dyDescent="0.3">
      <c r="D67" s="3">
        <v>9545</v>
      </c>
      <c r="E67" s="5">
        <v>3.2158564453124998</v>
      </c>
      <c r="F67" s="3">
        <v>9544</v>
      </c>
      <c r="G67" s="5">
        <v>3.2234619140624998</v>
      </c>
      <c r="H67" s="3">
        <v>10021</v>
      </c>
      <c r="I67" s="5">
        <v>3.19122729</v>
      </c>
      <c r="J67" s="3">
        <v>9449</v>
      </c>
      <c r="K67" s="5">
        <v>3.3846349999999998</v>
      </c>
      <c r="L67" s="3">
        <v>9639</v>
      </c>
      <c r="M67" s="5">
        <v>3.2879311499999999</v>
      </c>
      <c r="N67" s="3">
        <v>9639.6</v>
      </c>
      <c r="O67" s="5">
        <v>3.2606223598749997</v>
      </c>
    </row>
    <row r="68" spans="4:15" ht="15" thickBot="1" x14ac:dyDescent="0.35">
      <c r="D68" s="3">
        <v>10037</v>
      </c>
      <c r="E68" s="5">
        <v>3.2991943359375</v>
      </c>
      <c r="F68" s="3">
        <v>10037</v>
      </c>
      <c r="G68" s="5">
        <v>3.2991943359375</v>
      </c>
      <c r="H68" s="3">
        <v>9736</v>
      </c>
      <c r="I68" s="5">
        <v>3.4311621099999998</v>
      </c>
      <c r="J68" s="3">
        <v>10238</v>
      </c>
      <c r="K68" s="5">
        <v>3.3321862699999998</v>
      </c>
      <c r="L68" s="3">
        <v>10037</v>
      </c>
      <c r="M68" s="5">
        <v>3.3981701599999998</v>
      </c>
      <c r="N68" s="3">
        <v>10017</v>
      </c>
      <c r="O68" s="5">
        <v>3.3519814423750001</v>
      </c>
    </row>
    <row r="69" spans="4:15" ht="28.25" thickBot="1" x14ac:dyDescent="0.35">
      <c r="J69" s="6" t="s">
        <v>16</v>
      </c>
      <c r="K69" s="6" t="s">
        <v>17</v>
      </c>
      <c r="L69" s="6" t="s">
        <v>18</v>
      </c>
      <c r="M69" s="6" t="s">
        <v>19</v>
      </c>
      <c r="N69" s="6" t="s">
        <v>20</v>
      </c>
      <c r="O69" s="6" t="s">
        <v>21</v>
      </c>
    </row>
    <row r="70" spans="4:15" ht="15" thickBot="1" x14ac:dyDescent="0.35">
      <c r="J70" s="7">
        <v>0</v>
      </c>
      <c r="K70" s="7">
        <v>3.6406000000000001E-2</v>
      </c>
      <c r="L70" s="7">
        <v>0</v>
      </c>
      <c r="M70" s="7">
        <v>3.8635000000000003E-2</v>
      </c>
      <c r="N70" s="7">
        <v>0</v>
      </c>
      <c r="O70" s="7">
        <v>3.7892000000000002E-2</v>
      </c>
    </row>
    <row r="71" spans="4:15" ht="15" thickBot="1" x14ac:dyDescent="0.35">
      <c r="J71" s="7">
        <v>509</v>
      </c>
      <c r="K71" s="7">
        <v>0.20311499999999999</v>
      </c>
      <c r="L71" s="7">
        <v>474</v>
      </c>
      <c r="M71" s="7">
        <v>0.19153999999999999</v>
      </c>
      <c r="N71" s="7">
        <v>494</v>
      </c>
      <c r="O71" s="7">
        <v>0.19833000000000001</v>
      </c>
    </row>
    <row r="72" spans="4:15" ht="15" thickBot="1" x14ac:dyDescent="0.35">
      <c r="J72" s="7">
        <v>1005</v>
      </c>
      <c r="K72" s="7">
        <v>0.36542999999999998</v>
      </c>
      <c r="L72" s="7">
        <v>1024</v>
      </c>
      <c r="M72" s="7">
        <v>0.37122100000000002</v>
      </c>
      <c r="N72" s="7">
        <v>955</v>
      </c>
      <c r="O72" s="7">
        <v>0.34821099999999999</v>
      </c>
    </row>
    <row r="73" spans="4:15" ht="15" thickBot="1" x14ac:dyDescent="0.35">
      <c r="J73" s="7">
        <v>1470</v>
      </c>
      <c r="K73" s="7">
        <v>0.51610199999999995</v>
      </c>
      <c r="L73" s="7">
        <v>1515</v>
      </c>
      <c r="M73" s="7">
        <v>0.53155600000000003</v>
      </c>
      <c r="N73" s="7">
        <v>1530</v>
      </c>
      <c r="O73" s="7">
        <v>0.53610899999999995</v>
      </c>
    </row>
    <row r="74" spans="4:15" ht="15" thickBot="1" x14ac:dyDescent="0.35">
      <c r="J74" s="7">
        <v>2015</v>
      </c>
      <c r="K74" s="7">
        <v>0.69482100000000002</v>
      </c>
      <c r="L74" s="7">
        <v>1975</v>
      </c>
      <c r="M74" s="7">
        <v>0.68132999999999999</v>
      </c>
      <c r="N74" s="7">
        <v>1995</v>
      </c>
      <c r="O74" s="7">
        <v>0.68744000000000005</v>
      </c>
    </row>
    <row r="75" spans="4:15" ht="15" thickBot="1" x14ac:dyDescent="0.35">
      <c r="J75" s="7">
        <v>2510</v>
      </c>
      <c r="K75" s="7">
        <v>0.85501300000000002</v>
      </c>
      <c r="L75" s="7">
        <v>2488</v>
      </c>
      <c r="M75" s="7">
        <v>0.84811199999999998</v>
      </c>
      <c r="N75" s="7">
        <v>2534</v>
      </c>
      <c r="O75" s="7">
        <v>0.86311000000000004</v>
      </c>
    </row>
    <row r="76" spans="4:15" ht="15" thickBot="1" x14ac:dyDescent="0.35">
      <c r="J76" s="7">
        <v>3022</v>
      </c>
      <c r="K76" s="7">
        <v>1.0224500000000001</v>
      </c>
      <c r="L76" s="7">
        <v>2992</v>
      </c>
      <c r="M76" s="7">
        <v>1.013441</v>
      </c>
      <c r="N76" s="7">
        <v>3006</v>
      </c>
      <c r="O76" s="7">
        <v>1.01755</v>
      </c>
    </row>
    <row r="77" spans="4:15" ht="15" thickBot="1" x14ac:dyDescent="0.35">
      <c r="J77" s="7">
        <v>3584</v>
      </c>
      <c r="K77" s="7">
        <v>1.2051210000000001</v>
      </c>
      <c r="L77" s="7">
        <v>3443</v>
      </c>
      <c r="M77" s="7">
        <v>1.1601049999999999</v>
      </c>
      <c r="N77" s="7">
        <v>3478</v>
      </c>
      <c r="O77" s="7">
        <v>1.1712199999999999</v>
      </c>
    </row>
    <row r="78" spans="4:15" ht="15" thickBot="1" x14ac:dyDescent="0.35">
      <c r="J78" s="7">
        <v>3942</v>
      </c>
      <c r="K78" s="7">
        <v>1.32233</v>
      </c>
      <c r="L78" s="7">
        <v>4086</v>
      </c>
      <c r="M78" s="7">
        <v>1.3705499999999999</v>
      </c>
      <c r="N78" s="7">
        <v>4027</v>
      </c>
      <c r="O78" s="7">
        <v>1.3501099999999999</v>
      </c>
    </row>
    <row r="79" spans="4:15" ht="15" thickBot="1" x14ac:dyDescent="0.35">
      <c r="J79" s="7">
        <v>4520</v>
      </c>
      <c r="K79" s="7">
        <v>1.511045</v>
      </c>
      <c r="L79" s="7">
        <v>4559</v>
      </c>
      <c r="M79" s="7">
        <v>1.5248809999999999</v>
      </c>
      <c r="N79" s="7">
        <v>4505</v>
      </c>
      <c r="O79" s="7">
        <v>1.5064409999999999</v>
      </c>
    </row>
    <row r="80" spans="4:15" ht="15" thickBot="1" x14ac:dyDescent="0.35">
      <c r="J80" s="7">
        <v>5020</v>
      </c>
      <c r="K80" s="7">
        <v>1.674512</v>
      </c>
      <c r="L80" s="7">
        <v>4921</v>
      </c>
      <c r="M80" s="7">
        <v>1.6420999999999999</v>
      </c>
      <c r="N80" s="7">
        <v>4971</v>
      </c>
      <c r="O80" s="7">
        <v>1.65822</v>
      </c>
    </row>
    <row r="81" spans="10:15" ht="15" thickBot="1" x14ac:dyDescent="0.35">
      <c r="J81" s="7">
        <v>5550</v>
      </c>
      <c r="K81" s="7">
        <v>1.846201</v>
      </c>
      <c r="L81" s="7">
        <v>5486</v>
      </c>
      <c r="M81" s="7">
        <v>1.8267709999999999</v>
      </c>
      <c r="N81" s="7">
        <v>5576</v>
      </c>
      <c r="O81" s="7">
        <v>1.8553310000000001</v>
      </c>
    </row>
    <row r="82" spans="10:15" ht="15" thickBot="1" x14ac:dyDescent="0.35">
      <c r="J82" s="7">
        <v>6078</v>
      </c>
      <c r="K82" s="7">
        <v>2.0189900000000001</v>
      </c>
      <c r="L82" s="7">
        <v>5940</v>
      </c>
      <c r="M82" s="7">
        <v>1.97455</v>
      </c>
      <c r="N82" s="7">
        <v>5980</v>
      </c>
      <c r="O82" s="7">
        <v>1.98611</v>
      </c>
    </row>
    <row r="83" spans="10:15" ht="15" thickBot="1" x14ac:dyDescent="0.35">
      <c r="J83" s="7">
        <v>6454</v>
      </c>
      <c r="K83" s="7">
        <v>2.1415500000000001</v>
      </c>
      <c r="L83" s="7">
        <v>6477</v>
      </c>
      <c r="M83" s="7">
        <v>2.1491099999999999</v>
      </c>
      <c r="N83" s="7">
        <v>6519</v>
      </c>
      <c r="O83" s="7">
        <v>2.1624400000000001</v>
      </c>
    </row>
    <row r="84" spans="10:15" ht="15" thickBot="1" x14ac:dyDescent="0.35">
      <c r="J84" s="7">
        <v>7177</v>
      </c>
      <c r="K84" s="7">
        <v>2.3773119999999999</v>
      </c>
      <c r="L84" s="7">
        <v>6959</v>
      </c>
      <c r="M84" s="7">
        <v>2.30688</v>
      </c>
      <c r="N84" s="7">
        <v>7016</v>
      </c>
      <c r="O84" s="7">
        <v>2.3245499999999999</v>
      </c>
    </row>
    <row r="85" spans="10:15" ht="15" thickBot="1" x14ac:dyDescent="0.35">
      <c r="J85" s="7">
        <v>7518</v>
      </c>
      <c r="K85" s="7">
        <v>2.4881090000000001</v>
      </c>
      <c r="L85" s="7">
        <v>7495</v>
      </c>
      <c r="M85" s="7">
        <v>2.4801120000000001</v>
      </c>
      <c r="N85" s="7">
        <v>7469</v>
      </c>
      <c r="O85" s="7">
        <v>2.47288</v>
      </c>
    </row>
    <row r="86" spans="10:15" ht="15" thickBot="1" x14ac:dyDescent="0.35">
      <c r="J86" s="7">
        <v>8120</v>
      </c>
      <c r="K86" s="7">
        <v>2.6845300000000001</v>
      </c>
      <c r="L86" s="7">
        <v>8040</v>
      </c>
      <c r="M86" s="7">
        <v>2.65855</v>
      </c>
      <c r="N86" s="7">
        <v>8081</v>
      </c>
      <c r="O86" s="7">
        <v>2.6713300000000002</v>
      </c>
    </row>
    <row r="87" spans="10:15" ht="15" thickBot="1" x14ac:dyDescent="0.35">
      <c r="J87" s="7">
        <v>8576</v>
      </c>
      <c r="K87" s="7">
        <v>2.83311</v>
      </c>
      <c r="L87" s="7">
        <v>8479</v>
      </c>
      <c r="M87" s="7">
        <v>2.8021150000000001</v>
      </c>
      <c r="N87" s="7">
        <v>8564</v>
      </c>
      <c r="O87" s="7">
        <v>2.82911</v>
      </c>
    </row>
    <row r="88" spans="10:15" ht="15" thickBot="1" x14ac:dyDescent="0.35">
      <c r="J88" s="7">
        <v>9048</v>
      </c>
      <c r="K88" s="7">
        <v>2.9875150000000001</v>
      </c>
      <c r="L88" s="7">
        <v>9119</v>
      </c>
      <c r="M88" s="7">
        <v>3.0113300000000001</v>
      </c>
      <c r="N88" s="7">
        <v>9090</v>
      </c>
      <c r="O88" s="7">
        <v>3.0005500000000001</v>
      </c>
    </row>
    <row r="89" spans="10:15" ht="15" thickBot="1" x14ac:dyDescent="0.35">
      <c r="J89" s="7">
        <v>9521</v>
      </c>
      <c r="K89" s="7">
        <v>3.14133</v>
      </c>
      <c r="L89" s="7">
        <v>9449</v>
      </c>
      <c r="M89" s="7">
        <v>3.1189909999999998</v>
      </c>
      <c r="N89" s="7">
        <v>9539</v>
      </c>
      <c r="O89" s="7">
        <v>3.1478799999999998</v>
      </c>
    </row>
    <row r="90" spans="10:15" ht="15" thickBot="1" x14ac:dyDescent="0.35">
      <c r="J90" s="7">
        <v>10036</v>
      </c>
      <c r="K90" s="7">
        <v>3.3091149999999998</v>
      </c>
      <c r="L90" s="7">
        <v>10038</v>
      </c>
      <c r="M90" s="7">
        <v>3.3092199999999998</v>
      </c>
      <c r="N90" s="7">
        <v>10037</v>
      </c>
      <c r="O90" s="7">
        <v>3.3094399999999999</v>
      </c>
    </row>
  </sheetData>
  <mergeCells count="12">
    <mergeCell ref="D46:E46"/>
    <mergeCell ref="F46:G46"/>
    <mergeCell ref="H46:I46"/>
    <mergeCell ref="J46:K46"/>
    <mergeCell ref="L46:M46"/>
    <mergeCell ref="N46:O46"/>
    <mergeCell ref="D23:E23"/>
    <mergeCell ref="F23:G23"/>
    <mergeCell ref="H23:I23"/>
    <mergeCell ref="K23:L23"/>
    <mergeCell ref="M23:N23"/>
    <mergeCell ref="O23:P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7502-8D20-47B8-81C7-877C7B5F998F}">
  <dimension ref="A1:B21"/>
  <sheetViews>
    <sheetView workbookViewId="0">
      <selection activeCell="F22" sqref="F2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0</v>
      </c>
      <c r="B2">
        <v>8.2559999999999995E-2</v>
      </c>
    </row>
    <row r="3" spans="1:2" x14ac:dyDescent="0.3">
      <c r="A3">
        <v>509</v>
      </c>
      <c r="B3">
        <v>0.22720000000000001</v>
      </c>
    </row>
    <row r="4" spans="1:2" x14ac:dyDescent="0.3">
      <c r="A4">
        <v>997</v>
      </c>
      <c r="B4">
        <v>0.4093</v>
      </c>
    </row>
    <row r="5" spans="1:2" x14ac:dyDescent="0.3">
      <c r="A5">
        <v>1504</v>
      </c>
      <c r="B5">
        <v>0.5948</v>
      </c>
    </row>
    <row r="6" spans="1:2" x14ac:dyDescent="0.3">
      <c r="A6">
        <v>2018</v>
      </c>
      <c r="B6">
        <v>0.79810000000000003</v>
      </c>
    </row>
    <row r="7" spans="1:2" x14ac:dyDescent="0.3">
      <c r="A7">
        <v>2515</v>
      </c>
      <c r="B7">
        <v>0.9748</v>
      </c>
    </row>
    <row r="8" spans="1:2" x14ac:dyDescent="0.3">
      <c r="A8">
        <v>3030</v>
      </c>
      <c r="B8">
        <v>1.1679999999999999</v>
      </c>
    </row>
    <row r="9" spans="1:2" x14ac:dyDescent="0.3">
      <c r="A9">
        <v>3582</v>
      </c>
      <c r="B9">
        <v>1.3720000000000001</v>
      </c>
    </row>
    <row r="10" spans="1:2" x14ac:dyDescent="0.3">
      <c r="A10">
        <v>4071</v>
      </c>
      <c r="B10">
        <v>1.5529999999999999</v>
      </c>
    </row>
    <row r="11" spans="1:2" x14ac:dyDescent="0.3">
      <c r="A11">
        <v>4574</v>
      </c>
      <c r="B11">
        <v>1.742</v>
      </c>
    </row>
    <row r="12" spans="1:2" x14ac:dyDescent="0.3">
      <c r="A12">
        <v>4918</v>
      </c>
      <c r="B12">
        <v>1.9</v>
      </c>
    </row>
    <row r="13" spans="1:2" x14ac:dyDescent="0.3">
      <c r="A13">
        <v>5471</v>
      </c>
      <c r="B13">
        <v>2.081</v>
      </c>
    </row>
    <row r="14" spans="1:2" x14ac:dyDescent="0.3">
      <c r="A14">
        <v>5982</v>
      </c>
      <c r="B14">
        <v>2.2789999999999999</v>
      </c>
    </row>
    <row r="15" spans="1:2" x14ac:dyDescent="0.3">
      <c r="A15">
        <v>6489</v>
      </c>
      <c r="B15">
        <v>2.4889999999999999</v>
      </c>
    </row>
    <row r="16" spans="1:2" x14ac:dyDescent="0.3">
      <c r="A16">
        <v>6915</v>
      </c>
      <c r="B16">
        <v>2.5339999999999998</v>
      </c>
    </row>
    <row r="17" spans="1:2" x14ac:dyDescent="0.3">
      <c r="A17">
        <v>7482</v>
      </c>
      <c r="B17">
        <v>2.5449999999999999</v>
      </c>
    </row>
    <row r="18" spans="1:2" x14ac:dyDescent="0.3">
      <c r="A18">
        <v>7997</v>
      </c>
      <c r="B18">
        <v>2.5470000000000002</v>
      </c>
    </row>
    <row r="19" spans="1:2" x14ac:dyDescent="0.3">
      <c r="A19">
        <v>8486</v>
      </c>
      <c r="B19">
        <v>2.544</v>
      </c>
    </row>
    <row r="20" spans="1:2" x14ac:dyDescent="0.3">
      <c r="A20">
        <v>9469</v>
      </c>
      <c r="B20">
        <v>2.5369999999999999</v>
      </c>
    </row>
    <row r="21" spans="1:2" x14ac:dyDescent="0.3">
      <c r="A21">
        <v>9995</v>
      </c>
      <c r="B21">
        <v>2.5409999999999999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F6DA-AFDA-4590-91EB-E59A8CF37FB0}">
  <dimension ref="A1:C11"/>
  <sheetViews>
    <sheetView zoomScale="115" zoomScaleNormal="115" workbookViewId="0">
      <selection activeCell="J6" sqref="J6"/>
    </sheetView>
  </sheetViews>
  <sheetFormatPr defaultRowHeight="14.4" x14ac:dyDescent="0.3"/>
  <cols>
    <col min="2" max="2" width="12.296875" customWidth="1"/>
  </cols>
  <sheetData>
    <row r="1" spans="1:3" x14ac:dyDescent="0.3">
      <c r="A1" t="s">
        <v>3</v>
      </c>
      <c r="B1" t="s">
        <v>5</v>
      </c>
      <c r="C1" t="s">
        <v>4</v>
      </c>
    </row>
    <row r="2" spans="1:3" x14ac:dyDescent="0.3">
      <c r="A2">
        <v>472</v>
      </c>
      <c r="B2">
        <v>358.83</v>
      </c>
      <c r="C2">
        <f>B2-A2</f>
        <v>-113.17000000000002</v>
      </c>
    </row>
    <row r="3" spans="1:3" x14ac:dyDescent="0.3">
      <c r="A3">
        <f>497+961</f>
        <v>1458</v>
      </c>
      <c r="B3">
        <v>1368.03</v>
      </c>
      <c r="C3">
        <f t="shared" ref="C3:C11" si="0">B3-A3</f>
        <v>-89.970000000000027</v>
      </c>
    </row>
    <row r="4" spans="1:3" x14ac:dyDescent="0.3">
      <c r="A4">
        <v>2454</v>
      </c>
      <c r="B4">
        <v>2382.69</v>
      </c>
      <c r="C4">
        <f t="shared" si="0"/>
        <v>-71.309999999999945</v>
      </c>
    </row>
    <row r="5" spans="1:3" x14ac:dyDescent="0.3">
      <c r="A5">
        <f>A4+472+489</f>
        <v>3415</v>
      </c>
      <c r="B5">
        <v>3365.33</v>
      </c>
      <c r="C5">
        <f t="shared" si="0"/>
        <v>-49.670000000000073</v>
      </c>
    </row>
    <row r="6" spans="1:3" x14ac:dyDescent="0.3">
      <c r="A6">
        <v>5268</v>
      </c>
      <c r="B6">
        <v>5259.71</v>
      </c>
      <c r="C6">
        <f t="shared" si="0"/>
        <v>-8.2899999999999636</v>
      </c>
    </row>
    <row r="7" spans="1:3" x14ac:dyDescent="0.3">
      <c r="A7">
        <f>A6+472+489</f>
        <v>6229</v>
      </c>
      <c r="B7">
        <v>6247.43</v>
      </c>
      <c r="C7">
        <f t="shared" si="0"/>
        <v>18.430000000000291</v>
      </c>
    </row>
    <row r="8" spans="1:3" x14ac:dyDescent="0.3">
      <c r="A8">
        <v>7538</v>
      </c>
      <c r="B8">
        <v>7607.75</v>
      </c>
      <c r="C8">
        <f t="shared" si="0"/>
        <v>69.75</v>
      </c>
    </row>
    <row r="9" spans="1:3" x14ac:dyDescent="0.3">
      <c r="A9">
        <f>A8+472+489</f>
        <v>8499</v>
      </c>
      <c r="B9">
        <v>8580.8700000000008</v>
      </c>
      <c r="C9">
        <f t="shared" si="0"/>
        <v>81.8700000000008</v>
      </c>
    </row>
    <row r="10" spans="1:3" x14ac:dyDescent="0.3">
      <c r="A10">
        <f>A9+497</f>
        <v>8996</v>
      </c>
      <c r="B10">
        <v>9086.69</v>
      </c>
      <c r="C10">
        <f t="shared" si="0"/>
        <v>90.690000000000509</v>
      </c>
    </row>
    <row r="11" spans="1:3" x14ac:dyDescent="0.3">
      <c r="A11">
        <v>10082</v>
      </c>
      <c r="B11">
        <v>9783.06</v>
      </c>
      <c r="C11">
        <f t="shared" si="0"/>
        <v>-298.94000000000051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B56B-29EC-45BA-82B8-F0CD66C4859E}">
  <dimension ref="A1:C7"/>
  <sheetViews>
    <sheetView tabSelected="1" zoomScale="190" zoomScaleNormal="190" workbookViewId="0">
      <selection activeCell="F9" sqref="F9"/>
    </sheetView>
  </sheetViews>
  <sheetFormatPr defaultRowHeight="14.4" x14ac:dyDescent="0.3"/>
  <cols>
    <col min="2" max="2" width="12.69921875" customWidth="1"/>
  </cols>
  <sheetData>
    <row r="1" spans="1:3" x14ac:dyDescent="0.3">
      <c r="A1" t="s">
        <v>3</v>
      </c>
      <c r="B1" t="s">
        <v>5</v>
      </c>
      <c r="C1" t="s">
        <v>4</v>
      </c>
    </row>
    <row r="2" spans="1:3" x14ac:dyDescent="0.3">
      <c r="A2">
        <v>497</v>
      </c>
      <c r="B2">
        <v>496.43400000000003</v>
      </c>
      <c r="C2">
        <f>B2-A2</f>
        <v>-0.56599999999997408</v>
      </c>
    </row>
    <row r="3" spans="1:3" x14ac:dyDescent="0.3">
      <c r="A3">
        <v>489</v>
      </c>
      <c r="B3">
        <v>488.72800000000001</v>
      </c>
      <c r="C3">
        <f t="shared" ref="C3:C7" si="0">B3-A3</f>
        <v>-0.27199999999999136</v>
      </c>
    </row>
    <row r="4" spans="1:3" x14ac:dyDescent="0.3">
      <c r="A4">
        <v>472</v>
      </c>
      <c r="B4">
        <v>471.73399999999998</v>
      </c>
      <c r="C4">
        <f t="shared" si="0"/>
        <v>-0.26600000000001955</v>
      </c>
    </row>
    <row r="5" spans="1:3" x14ac:dyDescent="0.3">
      <c r="A5">
        <v>2454</v>
      </c>
      <c r="B5">
        <v>2455.3209999999999</v>
      </c>
      <c r="C5">
        <f t="shared" si="0"/>
        <v>1.3209999999999127</v>
      </c>
    </row>
    <row r="6" spans="1:3" x14ac:dyDescent="0.3">
      <c r="A6">
        <v>618</v>
      </c>
      <c r="B6">
        <v>612.9</v>
      </c>
      <c r="C6">
        <f t="shared" si="0"/>
        <v>-5.1000000000000227</v>
      </c>
    </row>
    <row r="7" spans="1:3" x14ac:dyDescent="0.3">
      <c r="A7">
        <v>7549</v>
      </c>
      <c r="B7">
        <v>7547.6459999999997</v>
      </c>
      <c r="C7">
        <f t="shared" si="0"/>
        <v>-1.3540000000002692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test1</vt:lpstr>
      <vt:lpstr>test2</vt:lpstr>
      <vt:lpstr>test3</vt:lpstr>
      <vt:lpstr>test4</vt:lpstr>
      <vt:lpstr>test5</vt:lpstr>
      <vt:lpstr>avgVoltageAndWeigth</vt:lpstr>
      <vt:lpstr>sat1</vt:lpstr>
      <vt:lpstr>diff1</vt:lpstr>
      <vt:lpstr>calibrate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passakorn junlapaet</dc:creator>
  <cp:lastModifiedBy>passakorn junlapaet</cp:lastModifiedBy>
  <dcterms:created xsi:type="dcterms:W3CDTF">2026-10-02T10:15:29Z</dcterms:created>
  <dcterms:modified xsi:type="dcterms:W3CDTF">2026-10-03T12:30:45Z</dcterms:modified>
</cp:coreProperties>
</file>
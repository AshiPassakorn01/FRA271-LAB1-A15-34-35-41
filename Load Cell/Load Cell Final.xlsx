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FD8F7D1E-6F59-40CB-9E83-C9CE9F767639}" xr6:coauthVersionLast="47" xr6:coauthVersionMax="47" xr10:uidLastSave="{00000000-0000-0000-0000-000000000000}"/>
  <bookViews>
    <workbookView xWindow="-104" yWindow="-104" windowWidth="22326" windowHeight="12649" firstSheet="2" activeTab="3" xr2:uid="{B6FC8135-68A1-459D-83AF-4819E87C7F14}"/>
  </bookViews>
  <sheets>
    <sheet name="test under sat1" sheetId="1" r:id="rId1"/>
    <sheet name="test under sat2" sheetId="2" r:id="rId2"/>
    <sheet name="Character" sheetId="12" r:id="rId3"/>
    <sheet name="SAT" sheetId="13" r:id="rId4"/>
    <sheet name="character diff + eq" sheetId="8" r:id="rId5"/>
    <sheet name="VALIDate DIFF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0" l="1"/>
  <c r="A8" i="10" s="1"/>
  <c r="C6" i="10"/>
  <c r="C5" i="10"/>
  <c r="C4" i="10"/>
  <c r="C3" i="10"/>
  <c r="D6" i="10"/>
  <c r="D7" i="10" s="1"/>
  <c r="D8" i="10" s="1"/>
  <c r="F5" i="10"/>
  <c r="F4" i="10"/>
  <c r="F3" i="10"/>
  <c r="B19" i="1"/>
  <c r="B20" i="1" s="1"/>
  <c r="B21" i="1" s="1"/>
  <c r="B22" i="1" s="1"/>
  <c r="B23" i="1" s="1"/>
  <c r="B14" i="1"/>
  <c r="B15" i="1" s="1"/>
  <c r="B16" i="1" s="1"/>
  <c r="B17" i="1" s="1"/>
  <c r="B18" i="1" s="1"/>
  <c r="B9" i="1"/>
  <c r="B10" i="1" s="1"/>
  <c r="B11" i="1" s="1"/>
  <c r="B12" i="1" s="1"/>
  <c r="B13" i="1" s="1"/>
  <c r="B3" i="1"/>
  <c r="B4" i="1" s="1"/>
  <c r="B5" i="1" s="1"/>
  <c r="B6" i="1" s="1"/>
  <c r="B7" i="1" s="1"/>
  <c r="B8" i="1" s="1"/>
  <c r="F6" i="10" l="1"/>
  <c r="A9" i="10"/>
  <c r="C8" i="10"/>
  <c r="C7" i="10"/>
  <c r="D9" i="10"/>
  <c r="F8" i="10"/>
  <c r="F7" i="10"/>
  <c r="C9" i="10" l="1"/>
  <c r="A10" i="10"/>
  <c r="F9" i="10"/>
  <c r="D10" i="10"/>
  <c r="A11" i="10" l="1"/>
  <c r="C11" i="10" s="1"/>
  <c r="C10" i="10"/>
  <c r="D11" i="10"/>
  <c r="F11" i="10" s="1"/>
  <c r="F10" i="10"/>
</calcChain>
</file>

<file path=xl/sharedStrings.xml><?xml version="1.0" encoding="utf-8"?>
<sst xmlns="http://schemas.openxmlformats.org/spreadsheetml/2006/main" count="59" uniqueCount="41">
  <si>
    <t xml:space="preserve"> mass(g)</t>
  </si>
  <si>
    <t>mass(g)</t>
  </si>
  <si>
    <t>add</t>
  </si>
  <si>
    <t>voltage(V)</t>
  </si>
  <si>
    <t>measure(g)</t>
  </si>
  <si>
    <t>diff(g)</t>
  </si>
  <si>
    <t>TEST1</t>
  </si>
  <si>
    <t>TEST2</t>
  </si>
  <si>
    <t>TEST3</t>
  </si>
  <si>
    <t>TEST4</t>
  </si>
  <si>
    <t>TEST5</t>
  </si>
  <si>
    <t>AVERAGE</t>
  </si>
  <si>
    <t>MASSAVG</t>
  </si>
  <si>
    <t>VOLT AVG</t>
  </si>
  <si>
    <t>y(x) = 0</t>
  </si>
  <si>
    <t>y(x) = 0.9926x + 316.27</t>
  </si>
  <si>
    <t>y(x) = 1.0051x + 240.11</t>
  </si>
  <si>
    <t>y(x) = 0.9945x + 294.39</t>
  </si>
  <si>
    <t>y(x) = 0.9751x + 321.65</t>
  </si>
  <si>
    <t>y(x) = 1.0296x + 151.23</t>
  </si>
  <si>
    <t>y(x) = 0.9550x + 365.07</t>
  </si>
  <si>
    <t>y(x) = 1.2917x - 21.09</t>
  </si>
  <si>
    <t>y(x) = 0.9290x + 125.26</t>
  </si>
  <si>
    <t>y(x) = 1.2897x - 13.65</t>
  </si>
  <si>
    <t>i</t>
  </si>
  <si>
    <t>x &lt;10.585</t>
  </si>
  <si>
    <t>10.585 &lt; x &lt;=385.1</t>
  </si>
  <si>
    <t>385.1 &lt; x &lt;= 403.4</t>
  </si>
  <si>
    <t>403.4 &lt; x &lt;= 1147.0</t>
  </si>
  <si>
    <t>1147.0 &lt; x &lt;= 2159.0</t>
  </si>
  <si>
    <t>2159.0 &lt; x &lt;= 3165.0</t>
  </si>
  <si>
    <t>3165.0 &lt; x &lt;= 4127.0</t>
  </si>
  <si>
    <t>4127.0 &lt; x &lt;= 5118.5</t>
  </si>
  <si>
    <t>5118.5 &lt; x &lt;= 6107.5</t>
  </si>
  <si>
    <t>x &gt; 6107.5  Extrapolation</t>
  </si>
  <si>
    <t>Range of measured Mass</t>
  </si>
  <si>
    <t>slope</t>
  </si>
  <si>
    <t>y intercept</t>
  </si>
  <si>
    <t>eq</t>
  </si>
  <si>
    <t>Mass(g)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</si>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</sst>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FE39-5594-40DE-861E-C2715879A2F4}">
  <dimension ref="A1:C23"/>
  <sheetViews>
    <sheetView workbookViewId="0">
      <selection sqref="A1:C22"/>
    </sheetView>
  </sheetViews>
  <sheetFormatPr defaultRowHeight="14.4" x14ac:dyDescent="0.3"/>
  <cols>
    <col min="3" max="3" width="20.796875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A2">
        <v>0</v>
      </c>
      <c r="B2">
        <v>0</v>
      </c>
      <c r="C2" s="1">
        <v>3.6883300781250003E-2</v>
      </c>
    </row>
    <row r="3" spans="1:3" x14ac:dyDescent="0.3">
      <c r="A3">
        <v>514</v>
      </c>
      <c r="B3">
        <f>B2+A3</f>
        <v>514</v>
      </c>
      <c r="C3" s="1">
        <v>0.16944726562500001</v>
      </c>
    </row>
    <row r="4" spans="1:3" x14ac:dyDescent="0.3">
      <c r="A4">
        <v>494</v>
      </c>
      <c r="B4">
        <f>B3+A4</f>
        <v>1008</v>
      </c>
      <c r="C4" s="1">
        <v>0.33652587890625002</v>
      </c>
    </row>
    <row r="5" spans="1:3" x14ac:dyDescent="0.3">
      <c r="A5">
        <v>497</v>
      </c>
      <c r="B5">
        <f t="shared" ref="B5:B22" si="0">B4+A5</f>
        <v>1505</v>
      </c>
      <c r="C5" s="1">
        <v>0.50429736328124997</v>
      </c>
    </row>
    <row r="6" spans="1:3" x14ac:dyDescent="0.3">
      <c r="A6">
        <v>496</v>
      </c>
      <c r="B6">
        <f t="shared" si="0"/>
        <v>2001</v>
      </c>
      <c r="C6" s="1">
        <v>0.67157739257811999</v>
      </c>
    </row>
    <row r="7" spans="1:3" x14ac:dyDescent="0.3">
      <c r="A7">
        <v>493</v>
      </c>
      <c r="B7">
        <f t="shared" si="0"/>
        <v>2494</v>
      </c>
      <c r="C7" s="1">
        <v>0.83870434570313002</v>
      </c>
    </row>
    <row r="8" spans="1:3" x14ac:dyDescent="0.3">
      <c r="A8">
        <v>510</v>
      </c>
      <c r="B8">
        <f t="shared" si="0"/>
        <v>3004</v>
      </c>
      <c r="C8" s="1">
        <v>1.0104719238280999</v>
      </c>
    </row>
    <row r="9" spans="1:3" x14ac:dyDescent="0.3">
      <c r="B9">
        <f>2562+1009</f>
        <v>3571</v>
      </c>
      <c r="C9" s="1">
        <v>1.1963547363281</v>
      </c>
    </row>
    <row r="10" spans="1:3" x14ac:dyDescent="0.3">
      <c r="A10">
        <v>509</v>
      </c>
      <c r="B10">
        <f t="shared" si="0"/>
        <v>4080</v>
      </c>
      <c r="C10" s="1">
        <v>1.3708776855469</v>
      </c>
    </row>
    <row r="11" spans="1:3" x14ac:dyDescent="0.3">
      <c r="A11">
        <v>493</v>
      </c>
      <c r="B11">
        <f t="shared" si="0"/>
        <v>4573</v>
      </c>
      <c r="C11" s="1">
        <v>1.5357568359375</v>
      </c>
    </row>
    <row r="12" spans="1:3" x14ac:dyDescent="0.3">
      <c r="A12">
        <v>496</v>
      </c>
      <c r="B12">
        <f t="shared" si="0"/>
        <v>5069</v>
      </c>
      <c r="C12" s="1">
        <v>1.70272265625</v>
      </c>
    </row>
    <row r="13" spans="1:3" x14ac:dyDescent="0.3">
      <c r="A13">
        <v>497</v>
      </c>
      <c r="B13">
        <f t="shared" si="0"/>
        <v>5566</v>
      </c>
      <c r="C13" s="1">
        <v>1.8707600097656001</v>
      </c>
    </row>
    <row r="14" spans="1:3" x14ac:dyDescent="0.3">
      <c r="B14">
        <f>5971</f>
        <v>5971</v>
      </c>
      <c r="C14" s="1">
        <v>2.0153525390625</v>
      </c>
    </row>
    <row r="15" spans="1:3" x14ac:dyDescent="0.3">
      <c r="A15">
        <v>495</v>
      </c>
      <c r="B15">
        <f t="shared" si="0"/>
        <v>6466</v>
      </c>
      <c r="C15" s="1">
        <v>2.1740200195311998</v>
      </c>
    </row>
    <row r="16" spans="1:3" x14ac:dyDescent="0.3">
      <c r="A16">
        <v>515</v>
      </c>
      <c r="B16">
        <f t="shared" si="0"/>
        <v>6981</v>
      </c>
      <c r="C16" s="1">
        <v>2.3550124511719002</v>
      </c>
    </row>
    <row r="17" spans="1:3" x14ac:dyDescent="0.3">
      <c r="A17">
        <v>495</v>
      </c>
      <c r="B17">
        <f t="shared" si="0"/>
        <v>7476</v>
      </c>
      <c r="C17" s="1">
        <v>2.5225664062500002</v>
      </c>
    </row>
    <row r="18" spans="1:3" x14ac:dyDescent="0.3">
      <c r="A18">
        <v>496</v>
      </c>
      <c r="B18">
        <f t="shared" si="0"/>
        <v>7972</v>
      </c>
      <c r="C18" s="1">
        <v>2.68705883378906</v>
      </c>
    </row>
    <row r="19" spans="1:3" x14ac:dyDescent="0.3">
      <c r="B19">
        <f>4977+2563+996</f>
        <v>8536</v>
      </c>
      <c r="C19" s="1">
        <v>2.8758662109375002</v>
      </c>
    </row>
    <row r="20" spans="1:3" x14ac:dyDescent="0.3">
      <c r="A20">
        <v>515</v>
      </c>
      <c r="B20">
        <f t="shared" si="0"/>
        <v>9051</v>
      </c>
      <c r="C20" s="1">
        <v>3.0477867652344002</v>
      </c>
    </row>
    <row r="21" spans="1:3" x14ac:dyDescent="0.3">
      <c r="A21">
        <v>494</v>
      </c>
      <c r="B21">
        <f t="shared" si="0"/>
        <v>9545</v>
      </c>
      <c r="C21" s="1">
        <v>3.2158564453124998</v>
      </c>
    </row>
    <row r="22" spans="1:3" x14ac:dyDescent="0.3">
      <c r="A22">
        <v>492</v>
      </c>
      <c r="B22">
        <f t="shared" si="0"/>
        <v>10037</v>
      </c>
      <c r="C22" s="1">
        <v>3.2991943359375</v>
      </c>
    </row>
    <row r="23" spans="1:3" x14ac:dyDescent="0.3">
      <c r="A23">
        <v>492</v>
      </c>
      <c r="B23">
        <f t="shared" ref="B23" si="1">B22+A23</f>
        <v>10529</v>
      </c>
      <c r="C23" s="1">
        <v>3.2991943359375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C476-001A-4C7E-BB4D-8A0E2803344C}">
  <dimension ref="A1:C22"/>
  <sheetViews>
    <sheetView workbookViewId="0">
      <selection sqref="A1:C22"/>
    </sheetView>
  </sheetViews>
  <sheetFormatPr defaultRowHeight="14.4" x14ac:dyDescent="0.3"/>
  <cols>
    <col min="3" max="3" width="20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B2">
        <v>0</v>
      </c>
      <c r="C2" s="2">
        <v>3.7149169921875003E-2</v>
      </c>
    </row>
    <row r="3" spans="1:3" x14ac:dyDescent="0.3">
      <c r="A3">
        <v>496</v>
      </c>
      <c r="B3">
        <v>489</v>
      </c>
      <c r="C3" s="2">
        <v>0.16215600585938</v>
      </c>
    </row>
    <row r="4" spans="1:3" x14ac:dyDescent="0.3">
      <c r="A4">
        <v>515</v>
      </c>
      <c r="B4">
        <v>985</v>
      </c>
      <c r="C4" s="2">
        <v>0.32984692382811998</v>
      </c>
    </row>
    <row r="5" spans="1:3" x14ac:dyDescent="0.3">
      <c r="A5">
        <v>495</v>
      </c>
      <c r="B5">
        <v>1500</v>
      </c>
      <c r="C5" s="2">
        <v>0.50529638671874999</v>
      </c>
    </row>
    <row r="6" spans="1:3" x14ac:dyDescent="0.3">
      <c r="B6">
        <v>1995</v>
      </c>
      <c r="C6" s="2">
        <v>0.67258447265624999</v>
      </c>
    </row>
    <row r="7" spans="1:3" x14ac:dyDescent="0.3">
      <c r="A7">
        <v>493</v>
      </c>
      <c r="B7">
        <v>2560</v>
      </c>
      <c r="C7" s="2">
        <v>0.86115820312500002</v>
      </c>
    </row>
    <row r="8" spans="1:3" x14ac:dyDescent="0.3">
      <c r="A8">
        <v>496</v>
      </c>
      <c r="B8">
        <v>3053</v>
      </c>
      <c r="C8" s="2">
        <v>1.0303557128906</v>
      </c>
    </row>
    <row r="9" spans="1:3" x14ac:dyDescent="0.3">
      <c r="A9">
        <v>515</v>
      </c>
      <c r="B9">
        <v>3549</v>
      </c>
      <c r="C9" s="2">
        <v>1.1973698730469</v>
      </c>
    </row>
    <row r="10" spans="1:3" x14ac:dyDescent="0.3">
      <c r="A10">
        <v>495</v>
      </c>
      <c r="B10">
        <v>4064</v>
      </c>
      <c r="C10" s="2">
        <v>1.3720861816406</v>
      </c>
    </row>
    <row r="11" spans="1:3" x14ac:dyDescent="0.3">
      <c r="B11">
        <v>4559</v>
      </c>
      <c r="C11" s="2">
        <v>1.5390922851561999</v>
      </c>
    </row>
    <row r="12" spans="1:3" x14ac:dyDescent="0.3">
      <c r="A12">
        <v>496</v>
      </c>
      <c r="B12">
        <v>4971</v>
      </c>
      <c r="C12" s="2">
        <v>1.6834270019530999</v>
      </c>
    </row>
    <row r="13" spans="1:3" x14ac:dyDescent="0.3">
      <c r="A13">
        <v>492</v>
      </c>
      <c r="B13">
        <v>5467</v>
      </c>
      <c r="C13" s="2">
        <v>1.8478630371094</v>
      </c>
    </row>
    <row r="14" spans="1:3" x14ac:dyDescent="0.3">
      <c r="A14">
        <v>495</v>
      </c>
      <c r="B14">
        <v>5959</v>
      </c>
      <c r="C14" s="2">
        <v>2.0177211914062001</v>
      </c>
    </row>
    <row r="15" spans="1:3" x14ac:dyDescent="0.3">
      <c r="A15">
        <v>514</v>
      </c>
      <c r="B15">
        <v>6454</v>
      </c>
      <c r="C15" s="2">
        <v>2.1857666015624999</v>
      </c>
    </row>
    <row r="16" spans="1:3" x14ac:dyDescent="0.3">
      <c r="B16">
        <v>6968</v>
      </c>
      <c r="C16" s="2">
        <v>2.3611435546875001</v>
      </c>
    </row>
    <row r="17" spans="1:3" x14ac:dyDescent="0.3">
      <c r="A17">
        <v>496</v>
      </c>
      <c r="B17">
        <v>7544</v>
      </c>
      <c r="C17" s="2">
        <v>2.5548896484374999</v>
      </c>
    </row>
    <row r="18" spans="1:3" x14ac:dyDescent="0.3">
      <c r="A18">
        <v>495</v>
      </c>
      <c r="B18">
        <v>8040</v>
      </c>
      <c r="C18" s="2">
        <v>2.7156276855469001</v>
      </c>
    </row>
    <row r="19" spans="1:3" x14ac:dyDescent="0.3">
      <c r="A19">
        <v>494</v>
      </c>
      <c r="B19">
        <v>8535</v>
      </c>
      <c r="C19" s="2">
        <v>2.8830607910156001</v>
      </c>
    </row>
    <row r="20" spans="1:3" x14ac:dyDescent="0.3">
      <c r="A20">
        <v>515</v>
      </c>
      <c r="B20">
        <v>9029</v>
      </c>
      <c r="C20" s="2">
        <v>3.0533378906249999</v>
      </c>
    </row>
    <row r="21" spans="1:3" x14ac:dyDescent="0.3">
      <c r="A21">
        <v>493</v>
      </c>
      <c r="B21">
        <v>9544</v>
      </c>
      <c r="C21" s="2">
        <v>3.2234619140624998</v>
      </c>
    </row>
    <row r="22" spans="1:3" x14ac:dyDescent="0.3">
      <c r="B22">
        <v>10037</v>
      </c>
      <c r="C22" s="2">
        <v>3.2991943359375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49CA-701D-43B5-8A81-EA242D62379C}">
  <dimension ref="A1:L23"/>
  <sheetViews>
    <sheetView topLeftCell="A11" zoomScale="70" zoomScaleNormal="70" workbookViewId="0">
      <selection activeCell="L19" sqref="L19"/>
    </sheetView>
  </sheetViews>
  <sheetFormatPr defaultRowHeight="14.4" x14ac:dyDescent="0.3"/>
  <sheetData>
    <row r="1" spans="1:12" x14ac:dyDescent="0.3">
      <c r="A1" t="s">
        <v>6</v>
      </c>
      <c r="C1" t="s">
        <v>7</v>
      </c>
      <c r="E1" t="s">
        <v>8</v>
      </c>
      <c r="G1" t="s">
        <v>9</v>
      </c>
      <c r="I1" t="s">
        <v>10</v>
      </c>
      <c r="K1" t="s">
        <v>11</v>
      </c>
    </row>
    <row r="2" spans="1:12" x14ac:dyDescent="0.3">
      <c r="A2" t="s">
        <v>0</v>
      </c>
      <c r="B2" t="s">
        <v>3</v>
      </c>
      <c r="C2" t="s">
        <v>0</v>
      </c>
      <c r="D2" t="s">
        <v>3</v>
      </c>
      <c r="E2" t="s">
        <v>1</v>
      </c>
      <c r="F2" t="s">
        <v>3</v>
      </c>
      <c r="G2" t="s">
        <v>1</v>
      </c>
      <c r="H2" t="s">
        <v>3</v>
      </c>
      <c r="I2" t="s">
        <v>1</v>
      </c>
      <c r="J2" t="s">
        <v>3</v>
      </c>
      <c r="K2" t="s">
        <v>12</v>
      </c>
      <c r="L2" t="s">
        <v>13</v>
      </c>
    </row>
    <row r="3" spans="1:12" x14ac:dyDescent="0.3">
      <c r="A3">
        <v>0</v>
      </c>
      <c r="B3">
        <v>3.6883300781250003E-2</v>
      </c>
      <c r="C3">
        <v>0</v>
      </c>
      <c r="D3">
        <v>3.7149169921875003E-2</v>
      </c>
      <c r="E3">
        <v>0</v>
      </c>
      <c r="F3">
        <v>3.6406000000000001E-2</v>
      </c>
      <c r="G3">
        <v>0</v>
      </c>
      <c r="H3">
        <v>3.8635000000000003E-2</v>
      </c>
      <c r="I3">
        <v>0</v>
      </c>
      <c r="J3">
        <v>3.7892000000000002E-2</v>
      </c>
      <c r="K3">
        <v>0</v>
      </c>
      <c r="L3">
        <v>3.7393186140625E-2</v>
      </c>
    </row>
    <row r="4" spans="1:12" x14ac:dyDescent="0.3">
      <c r="A4">
        <v>514</v>
      </c>
      <c r="B4">
        <v>0.16944726562500001</v>
      </c>
      <c r="C4">
        <v>489</v>
      </c>
      <c r="D4">
        <v>0.16215600585938</v>
      </c>
      <c r="E4">
        <v>509</v>
      </c>
      <c r="F4">
        <v>0.20311499999999999</v>
      </c>
      <c r="G4">
        <v>474</v>
      </c>
      <c r="H4">
        <v>0.19153999999999999</v>
      </c>
      <c r="I4">
        <v>494</v>
      </c>
      <c r="J4">
        <v>0.19833000000000001</v>
      </c>
      <c r="K4">
        <v>496</v>
      </c>
      <c r="L4">
        <v>0.16426287829687597</v>
      </c>
    </row>
    <row r="5" spans="1:12" x14ac:dyDescent="0.3">
      <c r="A5">
        <v>1008</v>
      </c>
      <c r="B5">
        <v>0.33652587890625002</v>
      </c>
      <c r="C5">
        <v>985</v>
      </c>
      <c r="D5">
        <v>0.32984692382811998</v>
      </c>
      <c r="E5">
        <v>1005</v>
      </c>
      <c r="F5">
        <v>0.36542999999999998</v>
      </c>
      <c r="G5">
        <v>1024</v>
      </c>
      <c r="H5">
        <v>0.37122100000000002</v>
      </c>
      <c r="I5">
        <v>955</v>
      </c>
      <c r="J5">
        <v>0.34821099999999999</v>
      </c>
      <c r="K5">
        <v>995.4</v>
      </c>
      <c r="L5">
        <v>0.33184240654687402</v>
      </c>
    </row>
    <row r="6" spans="1:12" x14ac:dyDescent="0.3">
      <c r="A6">
        <v>1505</v>
      </c>
      <c r="B6">
        <v>0.50429736328124997</v>
      </c>
      <c r="C6">
        <v>1500</v>
      </c>
      <c r="D6">
        <v>0.50529638671874999</v>
      </c>
      <c r="E6">
        <v>1470</v>
      </c>
      <c r="F6">
        <v>0.51610199999999995</v>
      </c>
      <c r="G6">
        <v>1515</v>
      </c>
      <c r="H6">
        <v>0.53155600000000003</v>
      </c>
      <c r="I6">
        <v>1530</v>
      </c>
      <c r="J6">
        <v>0.53610899999999995</v>
      </c>
      <c r="K6">
        <v>1504</v>
      </c>
      <c r="L6">
        <v>0.50509657800000007</v>
      </c>
    </row>
    <row r="7" spans="1:12" x14ac:dyDescent="0.3">
      <c r="A7">
        <v>2001</v>
      </c>
      <c r="B7">
        <v>0.67157739257811999</v>
      </c>
      <c r="C7">
        <v>1995</v>
      </c>
      <c r="D7">
        <v>0.67258447265624999</v>
      </c>
      <c r="E7">
        <v>2015</v>
      </c>
      <c r="F7">
        <v>0.69482100000000002</v>
      </c>
      <c r="G7">
        <v>1975</v>
      </c>
      <c r="H7">
        <v>0.68132999999999999</v>
      </c>
      <c r="I7">
        <v>1995</v>
      </c>
      <c r="J7">
        <v>0.68744000000000005</v>
      </c>
      <c r="K7">
        <v>1996.2</v>
      </c>
      <c r="L7">
        <v>0.68179923704687406</v>
      </c>
    </row>
    <row r="8" spans="1:12" x14ac:dyDescent="0.3">
      <c r="A8">
        <v>2494</v>
      </c>
      <c r="B8">
        <v>0.83870434570313002</v>
      </c>
      <c r="C8">
        <v>2560</v>
      </c>
      <c r="D8">
        <v>0.86115820312500002</v>
      </c>
      <c r="E8">
        <v>2510</v>
      </c>
      <c r="F8">
        <v>0.85501300000000002</v>
      </c>
      <c r="G8">
        <v>2488</v>
      </c>
      <c r="H8">
        <v>0.84811199999999998</v>
      </c>
      <c r="I8">
        <v>2534</v>
      </c>
      <c r="J8">
        <v>0.86311000000000004</v>
      </c>
      <c r="K8">
        <v>2582.6</v>
      </c>
      <c r="L8">
        <v>0.86011205976562599</v>
      </c>
    </row>
    <row r="9" spans="1:12" x14ac:dyDescent="0.3">
      <c r="A9">
        <v>3004</v>
      </c>
      <c r="B9">
        <v>1.0104719238280999</v>
      </c>
      <c r="C9">
        <v>3053</v>
      </c>
      <c r="D9">
        <v>1.0303557128906</v>
      </c>
      <c r="E9">
        <v>3022</v>
      </c>
      <c r="F9">
        <v>1.0224500000000001</v>
      </c>
      <c r="G9">
        <v>2992</v>
      </c>
      <c r="H9">
        <v>1.013441</v>
      </c>
      <c r="I9">
        <v>3006</v>
      </c>
      <c r="J9">
        <v>1.01755</v>
      </c>
      <c r="K9">
        <v>3055.4</v>
      </c>
      <c r="L9">
        <v>1.0325411053437401</v>
      </c>
    </row>
    <row r="10" spans="1:12" x14ac:dyDescent="0.3">
      <c r="A10">
        <v>3571</v>
      </c>
      <c r="B10">
        <v>1.1963547363281</v>
      </c>
      <c r="C10">
        <v>3549</v>
      </c>
      <c r="D10">
        <v>1.1973698730469</v>
      </c>
      <c r="E10">
        <v>3584</v>
      </c>
      <c r="F10">
        <v>1.2051210000000001</v>
      </c>
      <c r="G10">
        <v>3443</v>
      </c>
      <c r="H10">
        <v>1.1601049999999999</v>
      </c>
      <c r="I10">
        <v>3478</v>
      </c>
      <c r="J10">
        <v>1.1712199999999999</v>
      </c>
      <c r="K10">
        <v>3525</v>
      </c>
      <c r="L10">
        <v>1.201956321875</v>
      </c>
    </row>
    <row r="11" spans="1:12" x14ac:dyDescent="0.3">
      <c r="A11">
        <v>4080</v>
      </c>
      <c r="B11">
        <v>1.3708776855469</v>
      </c>
      <c r="C11">
        <v>4064</v>
      </c>
      <c r="D11">
        <v>1.3720861816406</v>
      </c>
      <c r="E11">
        <v>3942</v>
      </c>
      <c r="F11">
        <v>1.32233</v>
      </c>
      <c r="G11">
        <v>4086</v>
      </c>
      <c r="H11">
        <v>1.3705499999999999</v>
      </c>
      <c r="I11">
        <v>4027</v>
      </c>
      <c r="J11">
        <v>1.3501099999999999</v>
      </c>
      <c r="K11">
        <v>4099.8</v>
      </c>
      <c r="L11">
        <v>1.3773328234375</v>
      </c>
    </row>
    <row r="12" spans="1:12" x14ac:dyDescent="0.3">
      <c r="A12">
        <v>4573</v>
      </c>
      <c r="B12">
        <v>1.5357568359375</v>
      </c>
      <c r="C12">
        <v>4559</v>
      </c>
      <c r="D12">
        <v>1.5390922851561999</v>
      </c>
      <c r="E12">
        <v>4520</v>
      </c>
      <c r="F12">
        <v>1.511045</v>
      </c>
      <c r="G12">
        <v>4559</v>
      </c>
      <c r="H12">
        <v>1.5248809999999999</v>
      </c>
      <c r="I12">
        <v>4505</v>
      </c>
      <c r="J12">
        <v>1.5064409999999999</v>
      </c>
      <c r="K12">
        <v>4607.3999999999996</v>
      </c>
      <c r="L12">
        <v>1.5415033762187398</v>
      </c>
    </row>
    <row r="13" spans="1:12" x14ac:dyDescent="0.3">
      <c r="A13">
        <v>5069</v>
      </c>
      <c r="B13">
        <v>1.70272265625</v>
      </c>
      <c r="C13">
        <v>4971</v>
      </c>
      <c r="D13">
        <v>1.6834270019530999</v>
      </c>
      <c r="E13">
        <v>5020</v>
      </c>
      <c r="F13">
        <v>1.674512</v>
      </c>
      <c r="G13">
        <v>4921</v>
      </c>
      <c r="H13">
        <v>1.6420999999999999</v>
      </c>
      <c r="I13">
        <v>4971</v>
      </c>
      <c r="J13">
        <v>1.65822</v>
      </c>
      <c r="K13">
        <v>5030.3999999999996</v>
      </c>
      <c r="L13">
        <v>1.6872861316406198</v>
      </c>
    </row>
    <row r="14" spans="1:12" x14ac:dyDescent="0.3">
      <c r="A14">
        <v>5566</v>
      </c>
      <c r="B14">
        <v>1.8707600097656001</v>
      </c>
      <c r="C14">
        <v>5467</v>
      </c>
      <c r="D14">
        <v>1.8478630371094</v>
      </c>
      <c r="E14">
        <v>5550</v>
      </c>
      <c r="F14">
        <v>1.846201</v>
      </c>
      <c r="G14">
        <v>5486</v>
      </c>
      <c r="H14">
        <v>1.8267709999999999</v>
      </c>
      <c r="I14">
        <v>5576</v>
      </c>
      <c r="J14">
        <v>1.8553310000000001</v>
      </c>
      <c r="K14">
        <v>5530.6</v>
      </c>
      <c r="L14">
        <v>1.8672253313749998</v>
      </c>
    </row>
    <row r="15" spans="1:12" x14ac:dyDescent="0.3">
      <c r="A15">
        <v>5971</v>
      </c>
      <c r="B15">
        <v>2.0153525390625</v>
      </c>
      <c r="C15">
        <v>5959</v>
      </c>
      <c r="D15">
        <v>2.0177211914062001</v>
      </c>
      <c r="E15">
        <v>6078</v>
      </c>
      <c r="F15">
        <v>2.0189900000000001</v>
      </c>
      <c r="G15">
        <v>5940</v>
      </c>
      <c r="H15">
        <v>1.97455</v>
      </c>
      <c r="I15">
        <v>5980</v>
      </c>
      <c r="J15">
        <v>1.98611</v>
      </c>
      <c r="K15">
        <v>5925.6</v>
      </c>
      <c r="L15">
        <v>2.04953099809374</v>
      </c>
    </row>
    <row r="16" spans="1:12" x14ac:dyDescent="0.3">
      <c r="A16">
        <v>6466</v>
      </c>
      <c r="B16">
        <v>2.1740200195311998</v>
      </c>
      <c r="C16">
        <v>6454</v>
      </c>
      <c r="D16">
        <v>2.1857666015624999</v>
      </c>
      <c r="E16">
        <v>6454</v>
      </c>
      <c r="F16">
        <v>2.1415500000000001</v>
      </c>
      <c r="G16">
        <v>6477</v>
      </c>
      <c r="H16">
        <v>2.1491099999999999</v>
      </c>
      <c r="I16">
        <v>6519</v>
      </c>
      <c r="J16">
        <v>2.1624400000000001</v>
      </c>
      <c r="K16">
        <v>6534</v>
      </c>
      <c r="L16">
        <v>2.1877888142187403</v>
      </c>
    </row>
    <row r="17" spans="1:12" x14ac:dyDescent="0.3">
      <c r="A17">
        <v>6981</v>
      </c>
      <c r="B17">
        <v>2.3550124511719002</v>
      </c>
      <c r="C17">
        <v>6968</v>
      </c>
      <c r="D17">
        <v>2.3611435546875001</v>
      </c>
      <c r="E17">
        <v>7177</v>
      </c>
      <c r="F17">
        <v>2.3773119999999999</v>
      </c>
      <c r="G17">
        <v>6959</v>
      </c>
      <c r="H17">
        <v>2.30688</v>
      </c>
      <c r="I17">
        <v>7016</v>
      </c>
      <c r="J17">
        <v>2.3245499999999999</v>
      </c>
      <c r="K17">
        <v>7040.2</v>
      </c>
      <c r="L17">
        <v>2.3835287671718803</v>
      </c>
    </row>
    <row r="18" spans="1:12" x14ac:dyDescent="0.3">
      <c r="A18">
        <v>7476</v>
      </c>
      <c r="B18">
        <v>2.5225664062500002</v>
      </c>
      <c r="C18">
        <v>7544</v>
      </c>
      <c r="D18">
        <v>2.5548896484374999</v>
      </c>
      <c r="E18">
        <v>7518</v>
      </c>
      <c r="F18">
        <v>2.4881090000000001</v>
      </c>
      <c r="G18">
        <v>7495</v>
      </c>
      <c r="H18">
        <v>2.4801120000000001</v>
      </c>
      <c r="I18">
        <v>7469</v>
      </c>
      <c r="J18">
        <v>2.47288</v>
      </c>
      <c r="K18">
        <v>7500.4</v>
      </c>
      <c r="L18">
        <v>2.5995227909374998</v>
      </c>
    </row>
    <row r="19" spans="1:12" x14ac:dyDescent="0.3">
      <c r="A19">
        <v>7972</v>
      </c>
      <c r="B19">
        <v>2.68705883378906</v>
      </c>
      <c r="C19">
        <v>8040</v>
      </c>
      <c r="D19">
        <v>2.7156276855469001</v>
      </c>
      <c r="E19">
        <v>8120</v>
      </c>
      <c r="F19">
        <v>2.6845300000000001</v>
      </c>
      <c r="G19">
        <v>8040</v>
      </c>
      <c r="H19">
        <v>2.65855</v>
      </c>
      <c r="I19">
        <v>8081</v>
      </c>
      <c r="J19">
        <v>2.6713300000000002</v>
      </c>
      <c r="K19">
        <v>8090.6</v>
      </c>
      <c r="L19">
        <v>2.7207764218671917</v>
      </c>
    </row>
    <row r="20" spans="1:12" x14ac:dyDescent="0.3">
      <c r="A20">
        <v>8536</v>
      </c>
      <c r="B20">
        <v>2.8758662109375002</v>
      </c>
      <c r="C20">
        <v>8535</v>
      </c>
      <c r="D20">
        <v>2.8830607910156001</v>
      </c>
      <c r="E20">
        <v>8576</v>
      </c>
      <c r="F20">
        <v>2.83311</v>
      </c>
      <c r="G20">
        <v>8479</v>
      </c>
      <c r="H20">
        <v>2.8021150000000001</v>
      </c>
      <c r="I20">
        <v>8564</v>
      </c>
      <c r="J20">
        <v>2.82911</v>
      </c>
      <c r="K20">
        <v>8518</v>
      </c>
      <c r="L20">
        <v>2.8931541143906201</v>
      </c>
    </row>
    <row r="21" spans="1:12" x14ac:dyDescent="0.3">
      <c r="A21">
        <v>9051</v>
      </c>
      <c r="B21">
        <v>3.0477867652344002</v>
      </c>
      <c r="C21">
        <v>9029</v>
      </c>
      <c r="D21">
        <v>3.0533378906249999</v>
      </c>
      <c r="E21">
        <v>9048</v>
      </c>
      <c r="F21">
        <v>2.9875150000000001</v>
      </c>
      <c r="G21">
        <v>9119</v>
      </c>
      <c r="H21">
        <v>3.0113300000000001</v>
      </c>
      <c r="I21">
        <v>9090</v>
      </c>
      <c r="J21">
        <v>3.0005500000000001</v>
      </c>
      <c r="K21">
        <v>9087.4</v>
      </c>
      <c r="L21">
        <v>3.0339076351718801</v>
      </c>
    </row>
    <row r="22" spans="1:12" x14ac:dyDescent="0.3">
      <c r="A22">
        <v>9545</v>
      </c>
      <c r="B22">
        <v>3.2158564453124998</v>
      </c>
      <c r="C22">
        <v>9544</v>
      </c>
      <c r="D22">
        <v>3.2234619140624998</v>
      </c>
      <c r="E22">
        <v>9521</v>
      </c>
      <c r="F22">
        <v>3.14133</v>
      </c>
      <c r="G22">
        <v>9449</v>
      </c>
      <c r="H22">
        <v>3.1189909999999998</v>
      </c>
      <c r="I22">
        <v>9539</v>
      </c>
      <c r="J22">
        <v>3.1478799999999998</v>
      </c>
      <c r="K22">
        <v>9639.6</v>
      </c>
      <c r="L22">
        <v>3.2606223598749997</v>
      </c>
    </row>
    <row r="23" spans="1:12" x14ac:dyDescent="0.3">
      <c r="A23">
        <v>10037</v>
      </c>
      <c r="B23">
        <v>3.2991943359375</v>
      </c>
      <c r="C23">
        <v>10037</v>
      </c>
      <c r="D23">
        <v>3.2991943359375</v>
      </c>
      <c r="E23">
        <v>10036</v>
      </c>
      <c r="F23">
        <v>3.3091149999999998</v>
      </c>
      <c r="G23">
        <v>10038</v>
      </c>
      <c r="H23">
        <v>3.3092199999999998</v>
      </c>
      <c r="I23">
        <v>10037</v>
      </c>
      <c r="J23">
        <v>3.3094399999999999</v>
      </c>
      <c r="K23">
        <v>10017</v>
      </c>
      <c r="L23">
        <v>3.3519814423750001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A2EC-3B9C-45F8-95D2-4B09D12A88E6}">
  <dimension ref="A1:B21"/>
  <sheetViews>
    <sheetView tabSelected="1" workbookViewId="0">
      <selection activeCell="N11" sqref="N11"/>
    </sheetView>
  </sheetViews>
  <sheetFormatPr defaultRowHeight="14.4" x14ac:dyDescent="0.3"/>
  <sheetData>
    <row r="1" spans="1:2" x14ac:dyDescent="0.3">
      <c r="A1" t="s">
        <v>39</v>
      </c>
      <c r="B1" t="s">
        <v>40</v>
      </c>
    </row>
    <row r="2" spans="1:2" x14ac:dyDescent="0.3">
      <c r="A2">
        <v>0</v>
      </c>
      <c r="B2">
        <v>8.2559999999999995E-2</v>
      </c>
    </row>
    <row r="3" spans="1:2" x14ac:dyDescent="0.3">
      <c r="A3">
        <v>509</v>
      </c>
      <c r="B3">
        <v>0.22720000000000001</v>
      </c>
    </row>
    <row r="4" spans="1:2" x14ac:dyDescent="0.3">
      <c r="A4">
        <v>997</v>
      </c>
      <c r="B4">
        <v>0.4093</v>
      </c>
    </row>
    <row r="5" spans="1:2" x14ac:dyDescent="0.3">
      <c r="A5">
        <v>1504</v>
      </c>
      <c r="B5">
        <v>0.5948</v>
      </c>
    </row>
    <row r="6" spans="1:2" x14ac:dyDescent="0.3">
      <c r="A6">
        <v>2018</v>
      </c>
      <c r="B6">
        <v>0.79810000000000003</v>
      </c>
    </row>
    <row r="7" spans="1:2" x14ac:dyDescent="0.3">
      <c r="A7">
        <v>2515</v>
      </c>
      <c r="B7">
        <v>0.9748</v>
      </c>
    </row>
    <row r="8" spans="1:2" x14ac:dyDescent="0.3">
      <c r="A8">
        <v>3030</v>
      </c>
      <c r="B8">
        <v>1.1679999999999999</v>
      </c>
    </row>
    <row r="9" spans="1:2" x14ac:dyDescent="0.3">
      <c r="A9">
        <v>3582</v>
      </c>
      <c r="B9">
        <v>1.3720000000000001</v>
      </c>
    </row>
    <row r="10" spans="1:2" x14ac:dyDescent="0.3">
      <c r="A10">
        <v>4071</v>
      </c>
      <c r="B10">
        <v>1.5529999999999999</v>
      </c>
    </row>
    <row r="11" spans="1:2" x14ac:dyDescent="0.3">
      <c r="A11">
        <v>4574</v>
      </c>
      <c r="B11">
        <v>1.742</v>
      </c>
    </row>
    <row r="12" spans="1:2" x14ac:dyDescent="0.3">
      <c r="A12">
        <v>4918</v>
      </c>
      <c r="B12">
        <v>1.9</v>
      </c>
    </row>
    <row r="13" spans="1:2" x14ac:dyDescent="0.3">
      <c r="A13">
        <v>5471</v>
      </c>
      <c r="B13">
        <v>2.081</v>
      </c>
    </row>
    <row r="14" spans="1:2" x14ac:dyDescent="0.3">
      <c r="A14">
        <v>5982</v>
      </c>
      <c r="B14">
        <v>2.2789999999999999</v>
      </c>
    </row>
    <row r="15" spans="1:2" x14ac:dyDescent="0.3">
      <c r="A15">
        <v>6489</v>
      </c>
      <c r="B15">
        <v>2.4889999999999999</v>
      </c>
    </row>
    <row r="16" spans="1:2" x14ac:dyDescent="0.3">
      <c r="A16">
        <v>6915</v>
      </c>
      <c r="B16">
        <v>2.5339999999999998</v>
      </c>
    </row>
    <row r="17" spans="1:2" x14ac:dyDescent="0.3">
      <c r="A17">
        <v>7482</v>
      </c>
      <c r="B17">
        <v>2.5449999999999999</v>
      </c>
    </row>
    <row r="18" spans="1:2" x14ac:dyDescent="0.3">
      <c r="A18">
        <v>7997</v>
      </c>
      <c r="B18">
        <v>2.5470000000000002</v>
      </c>
    </row>
    <row r="19" spans="1:2" x14ac:dyDescent="0.3">
      <c r="A19">
        <v>8486</v>
      </c>
      <c r="B19">
        <v>2.544</v>
      </c>
    </row>
    <row r="20" spans="1:2" x14ac:dyDescent="0.3">
      <c r="A20">
        <v>9469</v>
      </c>
      <c r="B20">
        <v>2.5369999999999999</v>
      </c>
    </row>
    <row r="21" spans="1:2" x14ac:dyDescent="0.3">
      <c r="A21">
        <v>9995</v>
      </c>
      <c r="B21">
        <v>2.5409999999999999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099C-6D6F-4727-8F1A-646B484A146D}">
  <dimension ref="A1:E11"/>
  <sheetViews>
    <sheetView zoomScale="115" zoomScaleNormal="115" workbookViewId="0">
      <selection activeCell="E14" sqref="E14"/>
    </sheetView>
  </sheetViews>
  <sheetFormatPr defaultRowHeight="14.4" x14ac:dyDescent="0.3"/>
  <cols>
    <col min="1" max="1" width="3" customWidth="1"/>
    <col min="2" max="2" width="23" customWidth="1"/>
    <col min="3" max="3" width="6" customWidth="1"/>
    <col min="4" max="4" width="10" customWidth="1"/>
    <col min="5" max="5" width="32.8984375" customWidth="1"/>
  </cols>
  <sheetData>
    <row r="1" spans="1:5" x14ac:dyDescent="0.3">
      <c r="A1" t="s">
        <v>24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>
        <v>0</v>
      </c>
      <c r="B2" t="s">
        <v>25</v>
      </c>
      <c r="C2">
        <v>0</v>
      </c>
      <c r="D2">
        <v>0</v>
      </c>
      <c r="E2" t="s">
        <v>14</v>
      </c>
    </row>
    <row r="3" spans="1:5" x14ac:dyDescent="0.3">
      <c r="A3">
        <v>1</v>
      </c>
      <c r="B3" t="s">
        <v>26</v>
      </c>
      <c r="C3">
        <v>1.2897000000000001</v>
      </c>
      <c r="D3">
        <v>-13.65</v>
      </c>
      <c r="E3" t="s">
        <v>23</v>
      </c>
    </row>
    <row r="4" spans="1:5" x14ac:dyDescent="0.3">
      <c r="A4">
        <v>2</v>
      </c>
      <c r="B4" t="s">
        <v>27</v>
      </c>
      <c r="C4">
        <v>0.92900000000000005</v>
      </c>
      <c r="D4">
        <v>125.26</v>
      </c>
      <c r="E4" t="s">
        <v>22</v>
      </c>
    </row>
    <row r="5" spans="1:5" x14ac:dyDescent="0.3">
      <c r="A5">
        <v>3</v>
      </c>
      <c r="B5" t="s">
        <v>28</v>
      </c>
      <c r="C5">
        <v>1.2917000000000001</v>
      </c>
      <c r="D5">
        <v>-21.09</v>
      </c>
      <c r="E5" t="s">
        <v>21</v>
      </c>
    </row>
    <row r="6" spans="1:5" x14ac:dyDescent="0.3">
      <c r="A6">
        <v>4</v>
      </c>
      <c r="B6" t="s">
        <v>29</v>
      </c>
      <c r="C6">
        <v>0.95499999999999996</v>
      </c>
      <c r="D6">
        <v>365.07</v>
      </c>
      <c r="E6" t="s">
        <v>20</v>
      </c>
    </row>
    <row r="7" spans="1:5" x14ac:dyDescent="0.3">
      <c r="A7">
        <v>5</v>
      </c>
      <c r="B7" t="s">
        <v>30</v>
      </c>
      <c r="C7">
        <v>0.97509999999999997</v>
      </c>
      <c r="D7">
        <v>321.64999999999998</v>
      </c>
      <c r="E7" t="s">
        <v>18</v>
      </c>
    </row>
    <row r="8" spans="1:5" x14ac:dyDescent="0.3">
      <c r="A8">
        <v>6</v>
      </c>
      <c r="B8" t="s">
        <v>31</v>
      </c>
      <c r="C8">
        <v>1.0296000000000001</v>
      </c>
      <c r="D8">
        <v>151.22999999999999</v>
      </c>
      <c r="E8" t="s">
        <v>19</v>
      </c>
    </row>
    <row r="9" spans="1:5" x14ac:dyDescent="0.3">
      <c r="A9">
        <v>7</v>
      </c>
      <c r="B9" t="s">
        <v>32</v>
      </c>
      <c r="C9">
        <v>0.99450000000000005</v>
      </c>
      <c r="D9">
        <v>294.39</v>
      </c>
      <c r="E9" t="s">
        <v>17</v>
      </c>
    </row>
    <row r="10" spans="1:5" x14ac:dyDescent="0.3">
      <c r="A10">
        <v>8</v>
      </c>
      <c r="B10" t="s">
        <v>33</v>
      </c>
      <c r="C10">
        <v>1.0051000000000001</v>
      </c>
      <c r="D10">
        <v>240.11</v>
      </c>
      <c r="E10" t="s">
        <v>16</v>
      </c>
    </row>
    <row r="11" spans="1:5" x14ac:dyDescent="0.3">
      <c r="A11">
        <v>9</v>
      </c>
      <c r="B11" t="s">
        <v>34</v>
      </c>
      <c r="C11">
        <v>0.99260000000000004</v>
      </c>
      <c r="D11">
        <v>316.27</v>
      </c>
      <c r="E1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5A1B-A8D7-49A0-AC64-1F2F437705E2}">
  <dimension ref="A1:F11"/>
  <sheetViews>
    <sheetView workbookViewId="0">
      <selection activeCell="C16" sqref="C16"/>
    </sheetView>
  </sheetViews>
  <sheetFormatPr defaultRowHeight="14.4" x14ac:dyDescent="0.3"/>
  <sheetData>
    <row r="1" spans="1:6" x14ac:dyDescent="0.3">
      <c r="A1" s="3" t="s">
        <v>6</v>
      </c>
      <c r="B1" s="3"/>
      <c r="C1" s="3"/>
      <c r="D1" s="3" t="s">
        <v>7</v>
      </c>
      <c r="E1" s="3"/>
      <c r="F1" s="3"/>
    </row>
    <row r="2" spans="1:6" x14ac:dyDescent="0.3">
      <c r="A2" t="s">
        <v>1</v>
      </c>
      <c r="B2" t="s">
        <v>4</v>
      </c>
      <c r="C2" t="s">
        <v>5</v>
      </c>
      <c r="D2" t="s">
        <v>1</v>
      </c>
      <c r="E2" t="s">
        <v>4</v>
      </c>
      <c r="F2" t="s">
        <v>5</v>
      </c>
    </row>
    <row r="3" spans="1:6" x14ac:dyDescent="0.3">
      <c r="A3">
        <v>0</v>
      </c>
      <c r="B3">
        <v>10.92</v>
      </c>
      <c r="C3">
        <f t="shared" ref="C3:C11" si="0">B3-A3</f>
        <v>10.92</v>
      </c>
      <c r="D3">
        <v>0</v>
      </c>
      <c r="E3">
        <v>10.25</v>
      </c>
      <c r="F3">
        <f>E3-D3</f>
        <v>10.25</v>
      </c>
    </row>
    <row r="4" spans="1:6" x14ac:dyDescent="0.3">
      <c r="A4">
        <v>500</v>
      </c>
      <c r="B4">
        <v>335.7</v>
      </c>
      <c r="C4">
        <f t="shared" si="0"/>
        <v>-164.3</v>
      </c>
      <c r="D4">
        <v>501</v>
      </c>
      <c r="E4">
        <v>334.6</v>
      </c>
      <c r="F4">
        <f>E4-D4</f>
        <v>-166.39999999999998</v>
      </c>
    </row>
    <row r="5" spans="1:6" x14ac:dyDescent="0.3">
      <c r="A5">
        <v>1483</v>
      </c>
      <c r="B5">
        <v>1172</v>
      </c>
      <c r="C5">
        <f t="shared" si="0"/>
        <v>-311</v>
      </c>
      <c r="D5">
        <v>1438</v>
      </c>
      <c r="E5">
        <v>1122</v>
      </c>
      <c r="F5">
        <f t="shared" ref="F5:F11" si="1">E5-D5</f>
        <v>-316</v>
      </c>
    </row>
    <row r="6" spans="1:6" x14ac:dyDescent="0.3">
      <c r="A6">
        <v>2450</v>
      </c>
      <c r="B6">
        <v>2185</v>
      </c>
      <c r="C6">
        <f t="shared" si="0"/>
        <v>-265</v>
      </c>
      <c r="D6">
        <f>D5+966</f>
        <v>2404</v>
      </c>
      <c r="E6">
        <v>2133</v>
      </c>
      <c r="F6">
        <f t="shared" si="1"/>
        <v>-271</v>
      </c>
    </row>
    <row r="7" spans="1:6" x14ac:dyDescent="0.3">
      <c r="A7">
        <f>A6+964</f>
        <v>3414</v>
      </c>
      <c r="B7">
        <v>3177</v>
      </c>
      <c r="C7">
        <f t="shared" si="0"/>
        <v>-237</v>
      </c>
      <c r="D7">
        <f>D6+998</f>
        <v>3402</v>
      </c>
      <c r="E7">
        <v>3153</v>
      </c>
      <c r="F7">
        <f t="shared" si="1"/>
        <v>-249</v>
      </c>
    </row>
    <row r="8" spans="1:6" x14ac:dyDescent="0.3">
      <c r="A8">
        <f>A7+979</f>
        <v>4393</v>
      </c>
      <c r="B8">
        <v>4128</v>
      </c>
      <c r="C8">
        <f t="shared" si="0"/>
        <v>-265</v>
      </c>
      <c r="D8">
        <f>D7+1002</f>
        <v>4404</v>
      </c>
      <c r="E8">
        <v>4126</v>
      </c>
      <c r="F8">
        <f t="shared" si="1"/>
        <v>-278</v>
      </c>
    </row>
    <row r="9" spans="1:6" x14ac:dyDescent="0.3">
      <c r="A9">
        <f>A8+991</f>
        <v>5384</v>
      </c>
      <c r="B9">
        <v>5124</v>
      </c>
      <c r="C9">
        <f t="shared" si="0"/>
        <v>-260</v>
      </c>
      <c r="D9">
        <f>D8+981</f>
        <v>5385</v>
      </c>
      <c r="E9">
        <v>5113</v>
      </c>
      <c r="F9">
        <f t="shared" si="1"/>
        <v>-272</v>
      </c>
    </row>
    <row r="10" spans="1:6" x14ac:dyDescent="0.3">
      <c r="A10">
        <f>A9+996</f>
        <v>6380</v>
      </c>
      <c r="B10">
        <v>6114</v>
      </c>
      <c r="C10">
        <f t="shared" si="0"/>
        <v>-266</v>
      </c>
      <c r="D10">
        <f>D9+992</f>
        <v>6377</v>
      </c>
      <c r="E10">
        <v>6101</v>
      </c>
      <c r="F10">
        <f t="shared" si="1"/>
        <v>-276</v>
      </c>
    </row>
    <row r="11" spans="1:6" x14ac:dyDescent="0.3">
      <c r="A11">
        <f>A10+999</f>
        <v>7379</v>
      </c>
      <c r="B11">
        <v>7122</v>
      </c>
      <c r="C11">
        <f t="shared" si="0"/>
        <v>-257</v>
      </c>
      <c r="D11">
        <f>D10+1016</f>
        <v>7393</v>
      </c>
      <c r="E11">
        <v>7123</v>
      </c>
      <c r="F11">
        <f t="shared" si="1"/>
        <v>-270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under sat1</vt:lpstr>
      <vt:lpstr>test under sat2</vt:lpstr>
      <vt:lpstr>Character</vt:lpstr>
      <vt:lpstr>SAT</vt:lpstr>
      <vt:lpstr>character diff + eq</vt:lpstr>
      <vt:lpstr>VALIDate 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2026-10-02T16:57:20Z</dcterms:created>
  <dcterms:modified xsi:type="dcterms:W3CDTF">2026-10-03T15:21:59Z</dcterms:modified>
</cp:coreProperties>
</file>